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a041a59f98cdcb/LED Lights/SchPcb/9LedCluster-V2/"/>
    </mc:Choice>
  </mc:AlternateContent>
  <xr:revisionPtr revIDLastSave="149" documentId="8_{A17F0FEF-7048-4AB6-8B36-0DCE27083C87}" xr6:coauthVersionLast="47" xr6:coauthVersionMax="47" xr10:uidLastSave="{B5E09295-6EC7-4104-82E8-ACDE12AE8692}"/>
  <bookViews>
    <workbookView xWindow="384" yWindow="384" windowWidth="18348" windowHeight="17112" activeTab="1" xr2:uid="{19269FDD-0B26-4644-AA9D-C84A8BB8073A}"/>
  </bookViews>
  <sheets>
    <sheet name="Sheet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23" i="2"/>
  <c r="D24" i="2"/>
  <c r="D25" i="2"/>
  <c r="D26" i="2"/>
  <c r="D27" i="2"/>
  <c r="D28" i="2"/>
  <c r="D29" i="2"/>
  <c r="D30" i="2"/>
  <c r="D31" i="2"/>
  <c r="D32" i="2"/>
  <c r="D21" i="2"/>
  <c r="H12" i="2"/>
  <c r="G12" i="2"/>
  <c r="I21" i="2"/>
  <c r="J21" i="2" s="1"/>
  <c r="H22" i="2"/>
  <c r="I22" i="2" s="1"/>
  <c r="J22" i="2" s="1"/>
  <c r="E22" i="2"/>
  <c r="F22" i="2" s="1"/>
  <c r="E23" i="2"/>
  <c r="F23" i="2" s="1"/>
  <c r="E24" i="2"/>
  <c r="F24" i="2" s="1"/>
  <c r="E25" i="2"/>
  <c r="F25" i="2" s="1"/>
  <c r="C22" i="2"/>
  <c r="G22" i="2" s="1"/>
  <c r="C23" i="2"/>
  <c r="G23" i="2" s="1"/>
  <c r="C24" i="2"/>
  <c r="G24" i="2" s="1"/>
  <c r="C25" i="2"/>
  <c r="G25" i="2" s="1"/>
  <c r="C26" i="2"/>
  <c r="E26" i="2" s="1"/>
  <c r="F26" i="2" s="1"/>
  <c r="C27" i="2"/>
  <c r="G27" i="2" s="1"/>
  <c r="C28" i="2"/>
  <c r="G28" i="2" s="1"/>
  <c r="C29" i="2"/>
  <c r="G29" i="2" s="1"/>
  <c r="C30" i="2"/>
  <c r="G30" i="2" s="1"/>
  <c r="C31" i="2"/>
  <c r="G31" i="2" s="1"/>
  <c r="C32" i="2"/>
  <c r="G32" i="2" s="1"/>
  <c r="C21" i="2"/>
  <c r="E21" i="2" s="1"/>
  <c r="F21" i="2" s="1"/>
  <c r="D16" i="2"/>
  <c r="D15" i="2"/>
  <c r="D14" i="2"/>
  <c r="D13" i="2"/>
  <c r="D12" i="2"/>
  <c r="D11" i="2"/>
  <c r="D10" i="2"/>
  <c r="D9" i="2"/>
  <c r="J8" i="2"/>
  <c r="F8" i="2"/>
  <c r="E8" i="2"/>
  <c r="G16" i="2"/>
  <c r="G15" i="2"/>
  <c r="G11" i="2"/>
  <c r="G10" i="2"/>
  <c r="G9" i="2"/>
  <c r="N8" i="2"/>
  <c r="G8" i="2"/>
  <c r="H8" i="2" s="1"/>
  <c r="M9" i="1"/>
  <c r="F24" i="1"/>
  <c r="G24" i="1" s="1"/>
  <c r="F23" i="1"/>
  <c r="G23" i="1" s="1"/>
  <c r="F22" i="1"/>
  <c r="G22" i="1" s="1"/>
  <c r="F21" i="1"/>
  <c r="G21" i="1" s="1"/>
  <c r="F19" i="1"/>
  <c r="G19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I13" i="1"/>
  <c r="I12" i="1"/>
  <c r="I11" i="1"/>
  <c r="I10" i="1"/>
  <c r="I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H17" i="1" s="1"/>
  <c r="D18" i="1"/>
  <c r="E18" i="1"/>
  <c r="H18" i="1" s="1"/>
  <c r="D19" i="1"/>
  <c r="E19" i="1"/>
  <c r="D20" i="1"/>
  <c r="E20" i="1"/>
  <c r="H20" i="1" s="1"/>
  <c r="D21" i="1"/>
  <c r="E21" i="1"/>
  <c r="J21" i="1" s="1"/>
  <c r="D22" i="1"/>
  <c r="E22" i="1"/>
  <c r="J22" i="1" s="1"/>
  <c r="D23" i="1"/>
  <c r="E23" i="1"/>
  <c r="J23" i="1" s="1"/>
  <c r="D24" i="1"/>
  <c r="E24" i="1"/>
  <c r="J24" i="1" s="1"/>
  <c r="E9" i="1"/>
  <c r="D9" i="1"/>
  <c r="E27" i="2" l="1"/>
  <c r="F27" i="2" s="1"/>
  <c r="G21" i="2"/>
  <c r="E32" i="2"/>
  <c r="F32" i="2" s="1"/>
  <c r="E31" i="2"/>
  <c r="F31" i="2" s="1"/>
  <c r="G26" i="2"/>
  <c r="E30" i="2"/>
  <c r="F30" i="2" s="1"/>
  <c r="E29" i="2"/>
  <c r="F29" i="2" s="1"/>
  <c r="E28" i="2"/>
  <c r="F28" i="2" s="1"/>
  <c r="H23" i="2"/>
  <c r="K8" i="2"/>
  <c r="I8" i="2"/>
  <c r="H11" i="1"/>
  <c r="J9" i="1"/>
  <c r="J11" i="1"/>
  <c r="J10" i="1"/>
  <c r="J12" i="1"/>
  <c r="H12" i="1"/>
  <c r="H13" i="1"/>
  <c r="H16" i="1"/>
  <c r="H15" i="1"/>
  <c r="J13" i="1"/>
  <c r="H19" i="1"/>
  <c r="H9" i="1"/>
  <c r="H10" i="1"/>
  <c r="H14" i="1"/>
  <c r="J14" i="1"/>
  <c r="J15" i="1"/>
  <c r="J16" i="1"/>
  <c r="J17" i="1"/>
  <c r="J18" i="1"/>
  <c r="J19" i="1"/>
  <c r="H21" i="1"/>
  <c r="J20" i="1"/>
  <c r="H22" i="1"/>
  <c r="H23" i="1"/>
  <c r="H24" i="1"/>
  <c r="H24" i="2" l="1"/>
  <c r="I23" i="2"/>
  <c r="J23" i="2" s="1"/>
  <c r="H25" i="2" l="1"/>
  <c r="I24" i="2"/>
  <c r="J24" i="2" s="1"/>
  <c r="H26" i="2" l="1"/>
  <c r="I25" i="2"/>
  <c r="J25" i="2" s="1"/>
  <c r="H27" i="2" l="1"/>
  <c r="I26" i="2"/>
  <c r="J26" i="2" s="1"/>
  <c r="H28" i="2" l="1"/>
  <c r="I27" i="2"/>
  <c r="J27" i="2" s="1"/>
  <c r="H29" i="2" l="1"/>
  <c r="I28" i="2"/>
  <c r="J28" i="2" s="1"/>
  <c r="H30" i="2" l="1"/>
  <c r="I29" i="2"/>
  <c r="J29" i="2" s="1"/>
  <c r="H31" i="2" l="1"/>
  <c r="I30" i="2"/>
  <c r="J30" i="2" s="1"/>
  <c r="H32" i="2" l="1"/>
  <c r="I32" i="2" s="1"/>
  <c r="J32" i="2" s="1"/>
  <c r="I31" i="2"/>
  <c r="J31" i="2" s="1"/>
  <c r="F9" i="2" l="1"/>
  <c r="F12" i="2"/>
  <c r="I12" i="2" s="1"/>
  <c r="K12" i="2"/>
  <c r="F16" i="2"/>
  <c r="F14" i="2"/>
  <c r="I14" i="2" s="1"/>
  <c r="F10" i="2"/>
  <c r="F13" i="2"/>
  <c r="E13" i="2"/>
  <c r="F11" i="2"/>
  <c r="E11" i="2"/>
  <c r="E9" i="2"/>
  <c r="J9" i="2"/>
  <c r="H9" i="2"/>
  <c r="I9" i="2" s="1"/>
  <c r="F15" i="2"/>
  <c r="E15" i="2"/>
  <c r="H16" i="2"/>
  <c r="E16" i="2"/>
  <c r="H10" i="2"/>
  <c r="E10" i="2"/>
  <c r="E12" i="2"/>
  <c r="E14" i="2"/>
  <c r="I10" i="2" l="1"/>
  <c r="I16" i="2"/>
  <c r="K16" i="2"/>
  <c r="K9" i="2"/>
  <c r="K14" i="2"/>
  <c r="K11" i="2"/>
  <c r="I13" i="2"/>
  <c r="K13" i="2"/>
  <c r="K15" i="2"/>
  <c r="H15" i="2"/>
  <c r="I15" i="2" s="1"/>
  <c r="H11" i="2"/>
  <c r="I11" i="2" s="1"/>
  <c r="J10" i="2"/>
  <c r="K10" i="2" s="1"/>
</calcChain>
</file>

<file path=xl/sharedStrings.xml><?xml version="1.0" encoding="utf-8"?>
<sst xmlns="http://schemas.openxmlformats.org/spreadsheetml/2006/main" count="72" uniqueCount="41">
  <si>
    <t>Far Red</t>
  </si>
  <si>
    <t>Deep Red</t>
  </si>
  <si>
    <t>Red</t>
  </si>
  <si>
    <t>Red Orange</t>
  </si>
  <si>
    <t>Amber</t>
  </si>
  <si>
    <t>PC Amber</t>
  </si>
  <si>
    <t>Mint</t>
  </si>
  <si>
    <t>Lime</t>
  </si>
  <si>
    <t>Green</t>
  </si>
  <si>
    <t>Cyan</t>
  </si>
  <si>
    <t>Blue</t>
  </si>
  <si>
    <t>PC Blue</t>
  </si>
  <si>
    <t>Royal Blue</t>
  </si>
  <si>
    <t>Violet</t>
  </si>
  <si>
    <t>White</t>
  </si>
  <si>
    <t>Color</t>
  </si>
  <si>
    <t>Wave-
length or °K</t>
  </si>
  <si>
    <t>Vf (typ)</t>
  </si>
  <si>
    <t>Vcc</t>
  </si>
  <si>
    <t>If</t>
  </si>
  <si>
    <t>Pdiode</t>
  </si>
  <si>
    <t>Pdriver</t>
  </si>
  <si>
    <t>P_LED</t>
  </si>
  <si>
    <t>Direct Drive</t>
  </si>
  <si>
    <t>Resistor Drop</t>
  </si>
  <si>
    <t>Pres</t>
  </si>
  <si>
    <t>R</t>
  </si>
  <si>
    <t>Diode Drop</t>
  </si>
  <si>
    <t>Ifmax</t>
  </si>
  <si>
    <t>This analyzes the effect of using resistors or diodes to drop some of the voltage for low Vf LEDs. This helps</t>
  </si>
  <si>
    <t>share the power dissipation, so that the TI TLC5971 will run cooler.</t>
  </si>
  <si>
    <t>PC Yellow</t>
  </si>
  <si>
    <t>Photo Red</t>
  </si>
  <si>
    <t>Vled</t>
  </si>
  <si>
    <t>Vres</t>
  </si>
  <si>
    <t>Vdvr1</t>
  </si>
  <si>
    <t>Pdrv1</t>
  </si>
  <si>
    <t>Vdiode</t>
  </si>
  <si>
    <t>Vdrv2</t>
  </si>
  <si>
    <t>Pdrv2</t>
  </si>
  <si>
    <t>Pdrv0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</si>
</sst>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2" fontId="2" fillId="0" borderId="0" xfId="0" applyNumberFormat="1" applyFont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'v2'!$D$20</c:f>
              <c:strCache>
                <c:ptCount val="1"/>
                <c:pt idx="0">
                  <c:v>Pdrv0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'v2'!$A$21:$A$32</c:f>
              <c:numCache>
                <c:formatCode>0.000</c:formatCode>
                <c:ptCount val="12"/>
                <c:pt idx="0" formatCode="General">
                  <c:v>5.0000000000000001E-3</c:v>
                </c:pt>
                <c:pt idx="1">
                  <c:v>0.01</c:v>
                </c:pt>
                <c:pt idx="2" formatCode="General">
                  <c:v>1.4999999999999999E-2</c:v>
                </c:pt>
                <c:pt idx="3">
                  <c:v>0.02</c:v>
                </c:pt>
                <c:pt idx="4" formatCode="General">
                  <c:v>2.5000000000000001E-2</c:v>
                </c:pt>
                <c:pt idx="5">
                  <c:v>0.03</c:v>
                </c:pt>
                <c:pt idx="6" formatCode="General">
                  <c:v>3.5000000000000003E-2</c:v>
                </c:pt>
                <c:pt idx="7">
                  <c:v>0.04</c:v>
                </c:pt>
                <c:pt idx="8" formatCode="General">
                  <c:v>4.4999999999999998E-2</c:v>
                </c:pt>
                <c:pt idx="9">
                  <c:v>0.05</c:v>
                </c:pt>
                <c:pt idx="10" formatCode="General">
                  <c:v>5.5E-2</c:v>
                </c:pt>
                <c:pt idx="11">
                  <c:v>0.06</c:v>
                </c:pt>
              </c:numCache>
            </c:numRef>
          </c:xVal>
          <c:yVal>
            <c:numRef>
              <c:f>'v2'!$D$21:$D$32</c:f>
              <c:numCache>
                <c:formatCode>General</c:formatCode>
                <c:ptCount val="12"/>
                <c:pt idx="0">
                  <c:v>1.2500000000000001E-2</c:v>
                </c:pt>
                <c:pt idx="1">
                  <c:v>2.4900000000000002E-2</c:v>
                </c:pt>
                <c:pt idx="2">
                  <c:v>3.7199999999999997E-2</c:v>
                </c:pt>
                <c:pt idx="3">
                  <c:v>4.9399999999999999E-2</c:v>
                </c:pt>
                <c:pt idx="4">
                  <c:v>6.1499999999999999E-2</c:v>
                </c:pt>
                <c:pt idx="5">
                  <c:v>7.3499999999999996E-2</c:v>
                </c:pt>
                <c:pt idx="6">
                  <c:v>8.5400000000000004E-2</c:v>
                </c:pt>
                <c:pt idx="7">
                  <c:v>9.7199999999999995E-2</c:v>
                </c:pt>
                <c:pt idx="8">
                  <c:v>0.1089</c:v>
                </c:pt>
                <c:pt idx="9">
                  <c:v>0.12050000000000001</c:v>
                </c:pt>
                <c:pt idx="10">
                  <c:v>0.13200000000000001</c:v>
                </c:pt>
                <c:pt idx="11">
                  <c:v>0.14339999999999997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40-4B8F-BCFF-C9369E70E035}"/>
            </c:ext>
          </c:extLst>
        </c:ser>
        <c:ser>
          <c:idx val="0"/>
          <c:order val="1"/>
          <c:tx>
            <c:strRef>
              <c:f>'v2'!$F$20</c:f>
              <c:strCache>
                <c:ptCount val="1"/>
                <c:pt idx="0">
                  <c:v>Pdrv1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'v2'!$A$21:$A$32</c:f>
              <c:numCache>
                <c:formatCode>0.000</c:formatCode>
                <c:ptCount val="12"/>
                <c:pt idx="0" formatCode="General">
                  <c:v>5.0000000000000001E-3</c:v>
                </c:pt>
                <c:pt idx="1">
                  <c:v>0.01</c:v>
                </c:pt>
                <c:pt idx="2" formatCode="General">
                  <c:v>1.4999999999999999E-2</c:v>
                </c:pt>
                <c:pt idx="3">
                  <c:v>0.02</c:v>
                </c:pt>
                <c:pt idx="4" formatCode="General">
                  <c:v>2.5000000000000001E-2</c:v>
                </c:pt>
                <c:pt idx="5">
                  <c:v>0.03</c:v>
                </c:pt>
                <c:pt idx="6" formatCode="General">
                  <c:v>3.5000000000000003E-2</c:v>
                </c:pt>
                <c:pt idx="7">
                  <c:v>0.04</c:v>
                </c:pt>
                <c:pt idx="8" formatCode="General">
                  <c:v>4.4999999999999998E-2</c:v>
                </c:pt>
                <c:pt idx="9">
                  <c:v>0.05</c:v>
                </c:pt>
                <c:pt idx="10" formatCode="General">
                  <c:v>5.5E-2</c:v>
                </c:pt>
                <c:pt idx="11">
                  <c:v>0.06</c:v>
                </c:pt>
              </c:numCache>
            </c:numRef>
          </c:xVal>
          <c:yVal>
            <c:numRef>
              <c:f>'v2'!$F$21:$F$32</c:f>
              <c:numCache>
                <c:formatCode>0.000</c:formatCode>
                <c:ptCount val="12"/>
                <c:pt idx="0">
                  <c:v>1.1899999999999999E-2</c:v>
                </c:pt>
                <c:pt idx="1">
                  <c:v>2.2499999999999999E-2</c:v>
                </c:pt>
                <c:pt idx="2">
                  <c:v>3.1800000000000002E-2</c:v>
                </c:pt>
                <c:pt idx="3">
                  <c:v>3.9800000000000002E-2</c:v>
                </c:pt>
                <c:pt idx="4">
                  <c:v>4.65E-2</c:v>
                </c:pt>
                <c:pt idx="5">
                  <c:v>5.1900000000000002E-2</c:v>
                </c:pt>
                <c:pt idx="6">
                  <c:v>5.6000000000000008E-2</c:v>
                </c:pt>
                <c:pt idx="7">
                  <c:v>5.8799999999999998E-2</c:v>
                </c:pt>
                <c:pt idx="8">
                  <c:v>6.0299999999999992E-2</c:v>
                </c:pt>
                <c:pt idx="9">
                  <c:v>6.0499999999999991E-2</c:v>
                </c:pt>
                <c:pt idx="10">
                  <c:v>5.9399999999999981E-2</c:v>
                </c:pt>
                <c:pt idx="11">
                  <c:v>5.6999999999999995E-2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40-4B8F-BCFF-C9369E70E035}"/>
            </c:ext>
          </c:extLst>
        </c:ser>
        <c:ser>
          <c:idx val="1"/>
          <c:order val="2"/>
          <c:tx>
            <c:strRef>
              <c:f>'v2'!$J$20</c:f>
              <c:strCache>
                <c:ptCount val="1"/>
                <c:pt idx="0">
                  <c:v>Pdrv2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'v2'!$A$21:$A$32</c:f>
              <c:numCache>
                <c:formatCode>0.000</c:formatCode>
                <c:ptCount val="12"/>
                <c:pt idx="0" formatCode="General">
                  <c:v>5.0000000000000001E-3</c:v>
                </c:pt>
                <c:pt idx="1">
                  <c:v>0.01</c:v>
                </c:pt>
                <c:pt idx="2" formatCode="General">
                  <c:v>1.4999999999999999E-2</c:v>
                </c:pt>
                <c:pt idx="3">
                  <c:v>0.02</c:v>
                </c:pt>
                <c:pt idx="4" formatCode="General">
                  <c:v>2.5000000000000001E-2</c:v>
                </c:pt>
                <c:pt idx="5">
                  <c:v>0.03</c:v>
                </c:pt>
                <c:pt idx="6" formatCode="General">
                  <c:v>3.5000000000000003E-2</c:v>
                </c:pt>
                <c:pt idx="7">
                  <c:v>0.04</c:v>
                </c:pt>
                <c:pt idx="8" formatCode="General">
                  <c:v>4.4999999999999998E-2</c:v>
                </c:pt>
                <c:pt idx="9">
                  <c:v>0.05</c:v>
                </c:pt>
                <c:pt idx="10" formatCode="General">
                  <c:v>5.5E-2</c:v>
                </c:pt>
                <c:pt idx="11">
                  <c:v>0.06</c:v>
                </c:pt>
              </c:numCache>
            </c:numRef>
          </c:xVal>
          <c:yVal>
            <c:numRef>
              <c:f>'v2'!$J$21:$J$32</c:f>
              <c:numCache>
                <c:formatCode>0.000</c:formatCode>
                <c:ptCount val="12"/>
                <c:pt idx="0">
                  <c:v>8.5000000000000006E-3</c:v>
                </c:pt>
                <c:pt idx="1">
                  <c:v>1.6719999999999999E-2</c:v>
                </c:pt>
                <c:pt idx="2">
                  <c:v>2.4659999999999994E-2</c:v>
                </c:pt>
                <c:pt idx="3">
                  <c:v>3.2320000000000002E-2</c:v>
                </c:pt>
                <c:pt idx="4">
                  <c:v>3.9700000000000006E-2</c:v>
                </c:pt>
                <c:pt idx="5">
                  <c:v>4.6799999999999994E-2</c:v>
                </c:pt>
                <c:pt idx="6">
                  <c:v>5.3619999999999987E-2</c:v>
                </c:pt>
                <c:pt idx="7">
                  <c:v>6.0159999999999991E-2</c:v>
                </c:pt>
                <c:pt idx="8">
                  <c:v>6.6419999999999993E-2</c:v>
                </c:pt>
                <c:pt idx="9">
                  <c:v>7.2399999999999992E-2</c:v>
                </c:pt>
                <c:pt idx="10">
                  <c:v>7.8099999999999975E-2</c:v>
                </c:pt>
                <c:pt idx="11">
                  <c:v>8.3519999999999983E-2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40-4B8F-BCFF-C9369E70E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960624"/>
        <c:axId val="1226963984"/>
      </c:scatterChart>
      <c:valAx>
        <c:axId val="122696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63984"/>
        <c:crosses val="autoZero"/>
        <c:crossBetween val="midCat"/>
      </c:valAx>
      <c:valAx>
        <c:axId val="122696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6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49530</xdr:colOff>
      <xdr:row>19</xdr:row>
      <xdr:rowOff>19050</xdr:rowOff>
    </xdr:from>
    <xdr:to>
      <xdr:col>18</xdr:col>
      <xdr:colOff>354330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E80AB-9BEA-1F1A-0E54-08BA44C64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76FB-E6E4-4033-BEB4-573D4B0CEE4D}">
  <dimension ref="A1:M24"/>
  <sheetViews>
    <sheetView workbookViewId="0">
      <selection activeCell="I9" sqref="I9"/>
    </sheetView>
  </sheetViews>
  <sheetFormatPr defaultRowHeight="14.4" x14ac:dyDescent="0.3"/>
  <cols>
    <col min="1" max="1" width="13.33203125" customWidth="1"/>
  </cols>
  <sheetData>
    <row r="1" spans="1:13" x14ac:dyDescent="0.3">
      <c r="A1" t="s">
        <v>29</v>
      </c>
    </row>
    <row r="2" spans="1:13" x14ac:dyDescent="0.3">
      <c r="A2" t="s">
        <v>30</v>
      </c>
    </row>
    <row r="4" spans="1:13" x14ac:dyDescent="0.3">
      <c r="A4" s="6" t="s">
        <v>18</v>
      </c>
      <c r="B4" s="3">
        <v>4</v>
      </c>
    </row>
    <row r="5" spans="1:13" x14ac:dyDescent="0.3">
      <c r="A5" s="6" t="s">
        <v>19</v>
      </c>
      <c r="B5" s="4">
        <v>0.06</v>
      </c>
    </row>
    <row r="6" spans="1:13" x14ac:dyDescent="0.3">
      <c r="A6" s="6" t="s">
        <v>28</v>
      </c>
      <c r="B6" s="4">
        <v>0.06</v>
      </c>
    </row>
    <row r="7" spans="1:13" ht="15" thickBot="1" x14ac:dyDescent="0.35">
      <c r="D7" s="7" t="s">
        <v>23</v>
      </c>
      <c r="E7" s="7"/>
      <c r="F7" s="7" t="s">
        <v>24</v>
      </c>
      <c r="G7" s="7"/>
      <c r="H7" s="7"/>
      <c r="I7" s="7" t="s">
        <v>27</v>
      </c>
      <c r="J7" s="7"/>
    </row>
    <row r="8" spans="1:13" ht="40.200000000000003" thickBot="1" x14ac:dyDescent="0.35">
      <c r="A8" s="2" t="s">
        <v>15</v>
      </c>
      <c r="B8" s="2" t="s">
        <v>16</v>
      </c>
      <c r="C8" s="2" t="s">
        <v>17</v>
      </c>
      <c r="D8" s="5" t="s">
        <v>22</v>
      </c>
      <c r="E8" s="5" t="s">
        <v>21</v>
      </c>
      <c r="F8" s="5" t="s">
        <v>26</v>
      </c>
      <c r="G8" s="5" t="s">
        <v>25</v>
      </c>
      <c r="H8" s="5" t="s">
        <v>21</v>
      </c>
      <c r="I8" s="5" t="s">
        <v>20</v>
      </c>
      <c r="J8" s="5" t="s">
        <v>21</v>
      </c>
    </row>
    <row r="9" spans="1:13" ht="15" thickBot="1" x14ac:dyDescent="0.35">
      <c r="A9" s="1" t="s">
        <v>0</v>
      </c>
      <c r="B9" s="1">
        <v>735</v>
      </c>
      <c r="C9" s="1">
        <v>1.9</v>
      </c>
      <c r="D9" s="4">
        <f>C9*$B$5</f>
        <v>0.11399999999999999</v>
      </c>
      <c r="E9" s="4">
        <f>($B$4-C9)*$B$5</f>
        <v>0.126</v>
      </c>
      <c r="F9" s="3">
        <f>($B$4-C9-0.95)/$B$6</f>
        <v>19.166666666666668</v>
      </c>
      <c r="G9" s="4">
        <f t="shared" ref="G9:G16" si="0">$B$5^2*F9</f>
        <v>6.9000000000000006E-2</v>
      </c>
      <c r="H9" s="4">
        <f>E9-G9</f>
        <v>5.6999999999999995E-2</v>
      </c>
      <c r="I9">
        <f>0.8*$B$5</f>
        <v>4.8000000000000001E-2</v>
      </c>
      <c r="J9" s="4">
        <f>E9-I9</f>
        <v>7.8E-2</v>
      </c>
      <c r="M9">
        <f>16*1.05</f>
        <v>16.8</v>
      </c>
    </row>
    <row r="10" spans="1:13" ht="15" thickBot="1" x14ac:dyDescent="0.35">
      <c r="A10" s="1" t="s">
        <v>1</v>
      </c>
      <c r="B10" s="1">
        <v>665</v>
      </c>
      <c r="C10" s="1">
        <v>2.0499999999999998</v>
      </c>
      <c r="D10" s="4">
        <f t="shared" ref="D10:D24" si="1">C10*$B$5</f>
        <v>0.12299999999999998</v>
      </c>
      <c r="E10" s="4">
        <f t="shared" ref="E10:E24" si="2">($B$4-C10)*$B$5</f>
        <v>0.11700000000000001</v>
      </c>
      <c r="F10" s="3">
        <f t="shared" ref="F10:F16" si="3">($B$4-C10-0.95)/$B$6</f>
        <v>16.666666666666671</v>
      </c>
      <c r="G10" s="4">
        <f t="shared" si="0"/>
        <v>6.0000000000000019E-2</v>
      </c>
      <c r="H10" s="4">
        <f t="shared" ref="H10:H20" si="4">E10-G10</f>
        <v>5.6999999999999988E-2</v>
      </c>
      <c r="I10">
        <f t="shared" ref="I10:I13" si="5">0.8*$B$5</f>
        <v>4.8000000000000001E-2</v>
      </c>
      <c r="J10" s="4">
        <f t="shared" ref="J10:J24" si="6">E10-I10</f>
        <v>6.9000000000000006E-2</v>
      </c>
    </row>
    <row r="11" spans="1:13" ht="15" thickBot="1" x14ac:dyDescent="0.35">
      <c r="A11" s="1" t="s">
        <v>2</v>
      </c>
      <c r="B11" s="1">
        <v>629</v>
      </c>
      <c r="C11" s="1">
        <v>2</v>
      </c>
      <c r="D11" s="4">
        <f t="shared" si="1"/>
        <v>0.12</v>
      </c>
      <c r="E11" s="4">
        <f t="shared" si="2"/>
        <v>0.12</v>
      </c>
      <c r="F11" s="3">
        <f t="shared" si="3"/>
        <v>17.5</v>
      </c>
      <c r="G11" s="4">
        <f t="shared" si="0"/>
        <v>6.3E-2</v>
      </c>
      <c r="H11" s="4">
        <f t="shared" si="4"/>
        <v>5.6999999999999995E-2</v>
      </c>
      <c r="I11">
        <f t="shared" si="5"/>
        <v>4.8000000000000001E-2</v>
      </c>
      <c r="J11" s="4">
        <f t="shared" si="6"/>
        <v>7.1999999999999995E-2</v>
      </c>
    </row>
    <row r="12" spans="1:13" ht="15" thickBot="1" x14ac:dyDescent="0.35">
      <c r="A12" s="1" t="s">
        <v>3</v>
      </c>
      <c r="B12" s="1">
        <v>619</v>
      </c>
      <c r="C12" s="1">
        <v>2.0499999999999998</v>
      </c>
      <c r="D12" s="4">
        <f t="shared" si="1"/>
        <v>0.12299999999999998</v>
      </c>
      <c r="E12" s="4">
        <f t="shared" si="2"/>
        <v>0.11700000000000001</v>
      </c>
      <c r="F12" s="3">
        <f t="shared" si="3"/>
        <v>16.666666666666671</v>
      </c>
      <c r="G12" s="4">
        <f t="shared" si="0"/>
        <v>6.0000000000000019E-2</v>
      </c>
      <c r="H12" s="4">
        <f t="shared" si="4"/>
        <v>5.6999999999999988E-2</v>
      </c>
      <c r="I12">
        <f t="shared" si="5"/>
        <v>4.8000000000000001E-2</v>
      </c>
      <c r="J12" s="4">
        <f t="shared" si="6"/>
        <v>6.9000000000000006E-2</v>
      </c>
    </row>
    <row r="13" spans="1:13" ht="15" thickBot="1" x14ac:dyDescent="0.35">
      <c r="A13" s="1" t="s">
        <v>4</v>
      </c>
      <c r="B13" s="1">
        <v>593</v>
      </c>
      <c r="C13" s="1">
        <v>2.0499999999999998</v>
      </c>
      <c r="D13" s="4">
        <f t="shared" si="1"/>
        <v>0.12299999999999998</v>
      </c>
      <c r="E13" s="4">
        <f t="shared" si="2"/>
        <v>0.11700000000000001</v>
      </c>
      <c r="F13" s="3">
        <f t="shared" si="3"/>
        <v>16.666666666666671</v>
      </c>
      <c r="G13" s="4">
        <f t="shared" si="0"/>
        <v>6.0000000000000019E-2</v>
      </c>
      <c r="H13" s="4">
        <f t="shared" si="4"/>
        <v>5.6999999999999988E-2</v>
      </c>
      <c r="I13">
        <f t="shared" si="5"/>
        <v>4.8000000000000001E-2</v>
      </c>
      <c r="J13" s="4">
        <f t="shared" si="6"/>
        <v>6.9000000000000006E-2</v>
      </c>
    </row>
    <row r="14" spans="1:13" ht="15" thickBot="1" x14ac:dyDescent="0.35">
      <c r="A14" s="1" t="s">
        <v>5</v>
      </c>
      <c r="B14" s="1">
        <v>595</v>
      </c>
      <c r="C14" s="1">
        <v>2.75</v>
      </c>
      <c r="D14" s="4">
        <f t="shared" si="1"/>
        <v>0.16499999999999998</v>
      </c>
      <c r="E14" s="4">
        <f t="shared" si="2"/>
        <v>7.4999999999999997E-2</v>
      </c>
      <c r="F14" s="3">
        <f t="shared" si="3"/>
        <v>5.0000000000000009</v>
      </c>
      <c r="G14" s="4">
        <f t="shared" si="0"/>
        <v>1.8000000000000002E-2</v>
      </c>
      <c r="H14" s="4">
        <f t="shared" si="4"/>
        <v>5.6999999999999995E-2</v>
      </c>
      <c r="J14" s="4">
        <f t="shared" si="6"/>
        <v>7.4999999999999997E-2</v>
      </c>
    </row>
    <row r="15" spans="1:13" ht="15" thickBot="1" x14ac:dyDescent="0.35">
      <c r="A15" s="1" t="s">
        <v>6</v>
      </c>
      <c r="B15" s="1">
        <v>545</v>
      </c>
      <c r="C15" s="1">
        <v>2.75</v>
      </c>
      <c r="D15" s="4">
        <f t="shared" si="1"/>
        <v>0.16499999999999998</v>
      </c>
      <c r="E15" s="4">
        <f t="shared" si="2"/>
        <v>7.4999999999999997E-2</v>
      </c>
      <c r="F15" s="3">
        <f t="shared" si="3"/>
        <v>5.0000000000000009</v>
      </c>
      <c r="G15" s="4">
        <f t="shared" si="0"/>
        <v>1.8000000000000002E-2</v>
      </c>
      <c r="H15" s="4">
        <f t="shared" si="4"/>
        <v>5.6999999999999995E-2</v>
      </c>
      <c r="J15" s="4">
        <f t="shared" si="6"/>
        <v>7.4999999999999997E-2</v>
      </c>
    </row>
    <row r="16" spans="1:13" ht="15" thickBot="1" x14ac:dyDescent="0.35">
      <c r="A16" s="1" t="s">
        <v>7</v>
      </c>
      <c r="B16" s="1">
        <v>545</v>
      </c>
      <c r="C16" s="1">
        <v>2.75</v>
      </c>
      <c r="D16" s="4">
        <f t="shared" si="1"/>
        <v>0.16499999999999998</v>
      </c>
      <c r="E16" s="4">
        <f t="shared" si="2"/>
        <v>7.4999999999999997E-2</v>
      </c>
      <c r="F16" s="3">
        <f t="shared" si="3"/>
        <v>5.0000000000000009</v>
      </c>
      <c r="G16" s="4">
        <f t="shared" si="0"/>
        <v>1.8000000000000002E-2</v>
      </c>
      <c r="H16" s="4">
        <f t="shared" si="4"/>
        <v>5.6999999999999995E-2</v>
      </c>
      <c r="J16" s="4">
        <f t="shared" si="6"/>
        <v>7.4999999999999997E-2</v>
      </c>
    </row>
    <row r="17" spans="1:10" ht="15" thickBot="1" x14ac:dyDescent="0.35">
      <c r="A17" s="1" t="s">
        <v>8</v>
      </c>
      <c r="B17" s="1">
        <v>530</v>
      </c>
      <c r="C17" s="1">
        <v>3.05</v>
      </c>
      <c r="D17" s="4">
        <f t="shared" si="1"/>
        <v>0.183</v>
      </c>
      <c r="E17" s="4">
        <f t="shared" si="2"/>
        <v>5.7000000000000009E-2</v>
      </c>
      <c r="F17" s="3"/>
      <c r="G17" s="4"/>
      <c r="H17" s="4">
        <f t="shared" si="4"/>
        <v>5.7000000000000009E-2</v>
      </c>
      <c r="J17" s="4">
        <f t="shared" si="6"/>
        <v>5.7000000000000009E-2</v>
      </c>
    </row>
    <row r="18" spans="1:10" ht="15" thickBot="1" x14ac:dyDescent="0.35">
      <c r="A18" s="1" t="s">
        <v>9</v>
      </c>
      <c r="B18" s="1">
        <v>500</v>
      </c>
      <c r="C18" s="1">
        <v>3.05</v>
      </c>
      <c r="D18" s="4">
        <f t="shared" si="1"/>
        <v>0.183</v>
      </c>
      <c r="E18" s="4">
        <f t="shared" si="2"/>
        <v>5.7000000000000009E-2</v>
      </c>
      <c r="F18" s="3"/>
      <c r="G18" s="4"/>
      <c r="H18" s="4">
        <f t="shared" si="4"/>
        <v>5.7000000000000009E-2</v>
      </c>
      <c r="J18" s="4">
        <f t="shared" si="6"/>
        <v>5.7000000000000009E-2</v>
      </c>
    </row>
    <row r="19" spans="1:10" ht="15" thickBot="1" x14ac:dyDescent="0.35">
      <c r="A19" s="1" t="s">
        <v>10</v>
      </c>
      <c r="B19" s="1">
        <v>475</v>
      </c>
      <c r="C19" s="1">
        <v>2.84</v>
      </c>
      <c r="D19" s="4">
        <f t="shared" si="1"/>
        <v>0.1704</v>
      </c>
      <c r="E19" s="4">
        <f t="shared" si="2"/>
        <v>6.9600000000000009E-2</v>
      </c>
      <c r="F19" s="3">
        <f>($B$4-C19-0.95)/$B$6</f>
        <v>3.5000000000000031</v>
      </c>
      <c r="G19" s="4">
        <f>$B$5^2*F19</f>
        <v>1.260000000000001E-2</v>
      </c>
      <c r="H19" s="4">
        <f t="shared" si="4"/>
        <v>5.6999999999999995E-2</v>
      </c>
      <c r="J19" s="4">
        <f t="shared" si="6"/>
        <v>6.9600000000000009E-2</v>
      </c>
    </row>
    <row r="20" spans="1:10" ht="15" thickBot="1" x14ac:dyDescent="0.35">
      <c r="A20" s="1" t="s">
        <v>11</v>
      </c>
      <c r="B20" s="1">
        <v>465</v>
      </c>
      <c r="C20" s="1">
        <v>3.08</v>
      </c>
      <c r="D20" s="4">
        <f t="shared" si="1"/>
        <v>0.18479999999999999</v>
      </c>
      <c r="E20" s="4">
        <f t="shared" si="2"/>
        <v>5.5199999999999992E-2</v>
      </c>
      <c r="F20" s="3"/>
      <c r="G20" s="4"/>
      <c r="H20" s="4">
        <f t="shared" si="4"/>
        <v>5.5199999999999992E-2</v>
      </c>
      <c r="J20" s="4">
        <f t="shared" si="6"/>
        <v>5.5199999999999992E-2</v>
      </c>
    </row>
    <row r="21" spans="1:10" ht="15" thickBot="1" x14ac:dyDescent="0.35">
      <c r="A21" s="1" t="s">
        <v>12</v>
      </c>
      <c r="B21" s="1">
        <v>450</v>
      </c>
      <c r="C21" s="1">
        <v>2.75</v>
      </c>
      <c r="D21" s="4">
        <f t="shared" si="1"/>
        <v>0.16499999999999998</v>
      </c>
      <c r="E21" s="4">
        <f t="shared" si="2"/>
        <v>7.4999999999999997E-2</v>
      </c>
      <c r="F21" s="3">
        <f>($B$4-C21-0.95)/$B$6</f>
        <v>5.0000000000000009</v>
      </c>
      <c r="G21" s="4">
        <f t="shared" ref="G21:G24" si="7">$B$5^2*F21</f>
        <v>1.8000000000000002E-2</v>
      </c>
      <c r="H21" s="4">
        <f>E21-G21</f>
        <v>5.6999999999999995E-2</v>
      </c>
      <c r="J21" s="4">
        <f t="shared" si="6"/>
        <v>7.4999999999999997E-2</v>
      </c>
    </row>
    <row r="22" spans="1:10" ht="15" thickBot="1" x14ac:dyDescent="0.35">
      <c r="A22" s="1" t="s">
        <v>13</v>
      </c>
      <c r="B22" s="1">
        <v>425</v>
      </c>
      <c r="C22" s="1">
        <v>2.83</v>
      </c>
      <c r="D22" s="4">
        <f t="shared" si="1"/>
        <v>0.16980000000000001</v>
      </c>
      <c r="E22" s="4">
        <f t="shared" si="2"/>
        <v>7.0199999999999999E-2</v>
      </c>
      <c r="F22" s="3">
        <f>($B$4-C22-0.95)/$B$6</f>
        <v>3.6666666666666665</v>
      </c>
      <c r="G22" s="4">
        <f t="shared" si="7"/>
        <v>1.32E-2</v>
      </c>
      <c r="H22" s="4">
        <f>E22-G22</f>
        <v>5.6999999999999995E-2</v>
      </c>
      <c r="J22" s="4">
        <f t="shared" si="6"/>
        <v>7.0199999999999999E-2</v>
      </c>
    </row>
    <row r="23" spans="1:10" ht="15" thickBot="1" x14ac:dyDescent="0.35">
      <c r="A23" s="1" t="s">
        <v>14</v>
      </c>
      <c r="B23" s="1">
        <v>3000</v>
      </c>
      <c r="C23" s="1">
        <v>2.75</v>
      </c>
      <c r="D23" s="4">
        <f t="shared" si="1"/>
        <v>0.16499999999999998</v>
      </c>
      <c r="E23" s="4">
        <f t="shared" si="2"/>
        <v>7.4999999999999997E-2</v>
      </c>
      <c r="F23" s="3">
        <f>($B$4-C23-0.95)/$B$6</f>
        <v>5.0000000000000009</v>
      </c>
      <c r="G23" s="4">
        <f t="shared" si="7"/>
        <v>1.8000000000000002E-2</v>
      </c>
      <c r="H23" s="4">
        <f>E23-G23</f>
        <v>5.6999999999999995E-2</v>
      </c>
      <c r="J23" s="4">
        <f t="shared" si="6"/>
        <v>7.4999999999999997E-2</v>
      </c>
    </row>
    <row r="24" spans="1:10" ht="15" thickBot="1" x14ac:dyDescent="0.35">
      <c r="A24" s="1" t="s">
        <v>14</v>
      </c>
      <c r="B24" s="1">
        <v>4000</v>
      </c>
      <c r="C24" s="1">
        <v>2.75</v>
      </c>
      <c r="D24" s="4">
        <f t="shared" si="1"/>
        <v>0.16499999999999998</v>
      </c>
      <c r="E24" s="4">
        <f t="shared" si="2"/>
        <v>7.4999999999999997E-2</v>
      </c>
      <c r="F24" s="3">
        <f>($B$4-C24-0.95)/$B$6</f>
        <v>5.0000000000000009</v>
      </c>
      <c r="G24" s="4">
        <f t="shared" si="7"/>
        <v>1.8000000000000002E-2</v>
      </c>
      <c r="H24" s="4">
        <f>E24-G24</f>
        <v>5.6999999999999995E-2</v>
      </c>
      <c r="J24" s="4">
        <f t="shared" si="6"/>
        <v>7.4999999999999997E-2</v>
      </c>
    </row>
  </sheetData>
  <mergeCells count="3">
    <mergeCell ref="D7:E7"/>
    <mergeCell ref="F7:H7"/>
    <mergeCell ref="I7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A116-2296-4BDA-8C0C-7C2D647BDF30}">
  <dimension ref="A1:N32"/>
  <sheetViews>
    <sheetView tabSelected="1" workbookViewId="0">
      <selection activeCell="C20" sqref="C20"/>
    </sheetView>
  </sheetViews>
  <sheetFormatPr defaultRowHeight="14.4" x14ac:dyDescent="0.3"/>
  <cols>
    <col min="1" max="1" width="13.33203125" customWidth="1"/>
  </cols>
  <sheetData>
    <row r="1" spans="1:14" x14ac:dyDescent="0.3">
      <c r="A1" t="s">
        <v>29</v>
      </c>
    </row>
    <row r="2" spans="1:14" x14ac:dyDescent="0.3">
      <c r="A2" t="s">
        <v>30</v>
      </c>
    </row>
    <row r="4" spans="1:14" x14ac:dyDescent="0.3">
      <c r="A4" s="6" t="s">
        <v>18</v>
      </c>
      <c r="B4" s="3">
        <v>4</v>
      </c>
    </row>
    <row r="5" spans="1:14" x14ac:dyDescent="0.3">
      <c r="A5" s="6" t="s">
        <v>28</v>
      </c>
      <c r="B5" s="4">
        <v>0.06</v>
      </c>
    </row>
    <row r="6" spans="1:14" ht="15" thickBot="1" x14ac:dyDescent="0.35">
      <c r="E6" s="7" t="s">
        <v>23</v>
      </c>
      <c r="F6" s="7"/>
      <c r="G6" s="7" t="s">
        <v>24</v>
      </c>
      <c r="H6" s="7"/>
      <c r="I6" s="7"/>
      <c r="J6" s="7" t="s">
        <v>27</v>
      </c>
      <c r="K6" s="7"/>
    </row>
    <row r="7" spans="1:14" ht="40.200000000000003" thickBot="1" x14ac:dyDescent="0.35">
      <c r="A7" s="2" t="s">
        <v>15</v>
      </c>
      <c r="B7" s="2" t="s">
        <v>16</v>
      </c>
      <c r="C7" s="2" t="s">
        <v>17</v>
      </c>
      <c r="D7" s="5" t="s">
        <v>19</v>
      </c>
      <c r="E7" s="5" t="s">
        <v>22</v>
      </c>
      <c r="F7" s="5" t="s">
        <v>21</v>
      </c>
      <c r="G7" s="5" t="s">
        <v>26</v>
      </c>
      <c r="H7" s="5" t="s">
        <v>25</v>
      </c>
      <c r="I7" s="5" t="s">
        <v>21</v>
      </c>
      <c r="J7" s="5" t="s">
        <v>20</v>
      </c>
      <c r="K7" s="5" t="s">
        <v>21</v>
      </c>
    </row>
    <row r="8" spans="1:14" ht="15" thickBot="1" x14ac:dyDescent="0.35">
      <c r="A8" s="1" t="s">
        <v>0</v>
      </c>
      <c r="B8" s="1">
        <v>735</v>
      </c>
      <c r="C8" s="8">
        <v>1.6</v>
      </c>
      <c r="D8" s="9">
        <v>0.06</v>
      </c>
      <c r="E8" s="4">
        <f>C8*D8</f>
        <v>9.6000000000000002E-2</v>
      </c>
      <c r="F8" s="4">
        <f>($B$4-C8)*D8</f>
        <v>0.14399999999999999</v>
      </c>
      <c r="G8" s="3">
        <f>($B$4-C8-0.95)/$B$5</f>
        <v>24.166666666666668</v>
      </c>
      <c r="H8" s="4">
        <f>D8^2*G8</f>
        <v>8.7000000000000008E-2</v>
      </c>
      <c r="I8" s="4">
        <f>F8-H8</f>
        <v>5.6999999999999981E-2</v>
      </c>
      <c r="J8">
        <f>0.8*D8</f>
        <v>4.8000000000000001E-2</v>
      </c>
      <c r="K8" s="4">
        <f>F8-J8</f>
        <v>9.5999999999999988E-2</v>
      </c>
      <c r="N8">
        <f>16*1.05</f>
        <v>16.8</v>
      </c>
    </row>
    <row r="9" spans="1:14" ht="15" thickBot="1" x14ac:dyDescent="0.35">
      <c r="A9" s="1" t="s">
        <v>32</v>
      </c>
      <c r="B9" s="1">
        <v>665</v>
      </c>
      <c r="C9" s="1">
        <v>1.85</v>
      </c>
      <c r="D9" s="9">
        <f>D$8</f>
        <v>0.06</v>
      </c>
      <c r="E9" s="4">
        <f t="shared" ref="E9:E16" si="0">C9*D9</f>
        <v>0.111</v>
      </c>
      <c r="F9" s="4">
        <f t="shared" ref="F9:F16" si="1">($B$4-C9)*D9</f>
        <v>0.129</v>
      </c>
      <c r="G9" s="3">
        <f>($B$4-C9-0.95)/$B$5</f>
        <v>20</v>
      </c>
      <c r="H9" s="4">
        <f>D9^2*G9</f>
        <v>7.1999999999999995E-2</v>
      </c>
      <c r="I9" s="4">
        <f t="shared" ref="I9:I14" si="2">F9-H9</f>
        <v>5.7000000000000009E-2</v>
      </c>
      <c r="J9">
        <f t="shared" ref="J9:J10" si="3">0.8*D9</f>
        <v>4.8000000000000001E-2</v>
      </c>
      <c r="K9" s="4">
        <f t="shared" ref="K9:K16" si="4">F9-J9</f>
        <v>8.1000000000000003E-2</v>
      </c>
    </row>
    <row r="10" spans="1:14" ht="15" thickBot="1" x14ac:dyDescent="0.35">
      <c r="A10" s="1" t="s">
        <v>2</v>
      </c>
      <c r="B10" s="1">
        <v>629</v>
      </c>
      <c r="C10" s="1">
        <v>2.25</v>
      </c>
      <c r="D10" s="9">
        <f t="shared" ref="D10:D16" si="5">D$8</f>
        <v>0.06</v>
      </c>
      <c r="E10" s="4">
        <f t="shared" si="0"/>
        <v>0.13500000000000001</v>
      </c>
      <c r="F10" s="4">
        <f t="shared" si="1"/>
        <v>0.105</v>
      </c>
      <c r="G10" s="3">
        <f>($B$4-C10-0.95)/$B$5</f>
        <v>13.333333333333334</v>
      </c>
      <c r="H10" s="4">
        <f>D10^2*G10</f>
        <v>4.8000000000000001E-2</v>
      </c>
      <c r="I10" s="4">
        <f t="shared" si="2"/>
        <v>5.6999999999999995E-2</v>
      </c>
      <c r="J10">
        <f t="shared" si="3"/>
        <v>4.8000000000000001E-2</v>
      </c>
      <c r="K10" s="4">
        <f t="shared" si="4"/>
        <v>5.6999999999999995E-2</v>
      </c>
    </row>
    <row r="11" spans="1:14" ht="15" thickBot="1" x14ac:dyDescent="0.35">
      <c r="A11" s="1" t="s">
        <v>31</v>
      </c>
      <c r="B11" s="1">
        <v>595</v>
      </c>
      <c r="C11" s="1">
        <v>2.93</v>
      </c>
      <c r="D11" s="9">
        <f t="shared" si="5"/>
        <v>0.06</v>
      </c>
      <c r="E11" s="4">
        <f t="shared" si="0"/>
        <v>0.17580000000000001</v>
      </c>
      <c r="F11" s="4">
        <f t="shared" si="1"/>
        <v>6.4199999999999993E-2</v>
      </c>
      <c r="G11" s="3">
        <f>($B$4-C11-0.95)/$B$5</f>
        <v>1.9999999999999982</v>
      </c>
      <c r="H11" s="4">
        <f>D11^2*G11</f>
        <v>7.1999999999999937E-3</v>
      </c>
      <c r="I11" s="4">
        <f t="shared" si="2"/>
        <v>5.7000000000000002E-2</v>
      </c>
      <c r="K11" s="4">
        <f t="shared" si="4"/>
        <v>6.4199999999999993E-2</v>
      </c>
    </row>
    <row r="12" spans="1:14" ht="15" thickBot="1" x14ac:dyDescent="0.35">
      <c r="A12" s="1" t="s">
        <v>8</v>
      </c>
      <c r="B12" s="1">
        <v>530</v>
      </c>
      <c r="C12" s="1">
        <v>2.67</v>
      </c>
      <c r="D12" s="9">
        <f t="shared" si="5"/>
        <v>0.06</v>
      </c>
      <c r="E12" s="4">
        <f t="shared" si="0"/>
        <v>0.16019999999999998</v>
      </c>
      <c r="F12" s="4">
        <f t="shared" si="1"/>
        <v>7.9799999999999996E-2</v>
      </c>
      <c r="G12" s="3">
        <f>($B$4-C12-0.95)/$B$5</f>
        <v>6.3333333333333357</v>
      </c>
      <c r="H12" s="4">
        <f>D12^2*G12</f>
        <v>2.2800000000000008E-2</v>
      </c>
      <c r="I12" s="4">
        <f t="shared" si="2"/>
        <v>5.6999999999999988E-2</v>
      </c>
      <c r="K12" s="4">
        <f t="shared" si="4"/>
        <v>7.9799999999999996E-2</v>
      </c>
    </row>
    <row r="13" spans="1:14" ht="15" thickBot="1" x14ac:dyDescent="0.35">
      <c r="A13" s="1" t="s">
        <v>9</v>
      </c>
      <c r="B13" s="1">
        <v>500</v>
      </c>
      <c r="C13" s="8">
        <v>2.8</v>
      </c>
      <c r="D13" s="9">
        <f t="shared" si="5"/>
        <v>0.06</v>
      </c>
      <c r="E13" s="4">
        <f t="shared" si="0"/>
        <v>0.16799999999999998</v>
      </c>
      <c r="F13" s="4">
        <f t="shared" si="1"/>
        <v>7.2000000000000008E-2</v>
      </c>
      <c r="G13" s="3"/>
      <c r="H13" s="4"/>
      <c r="I13" s="4">
        <f t="shared" si="2"/>
        <v>7.2000000000000008E-2</v>
      </c>
      <c r="K13" s="4">
        <f t="shared" si="4"/>
        <v>7.2000000000000008E-2</v>
      </c>
    </row>
    <row r="14" spans="1:14" ht="15" thickBot="1" x14ac:dyDescent="0.35">
      <c r="A14" s="1" t="s">
        <v>11</v>
      </c>
      <c r="B14" s="1">
        <v>465</v>
      </c>
      <c r="C14" s="1">
        <v>2.85</v>
      </c>
      <c r="D14" s="9">
        <f t="shared" si="5"/>
        <v>0.06</v>
      </c>
      <c r="E14" s="4">
        <f t="shared" si="0"/>
        <v>0.17099999999999999</v>
      </c>
      <c r="F14" s="4">
        <f t="shared" si="1"/>
        <v>6.8999999999999992E-2</v>
      </c>
      <c r="G14" s="3"/>
      <c r="H14" s="4"/>
      <c r="I14" s="4">
        <f t="shared" si="2"/>
        <v>6.8999999999999992E-2</v>
      </c>
      <c r="K14" s="4">
        <f t="shared" si="4"/>
        <v>6.8999999999999992E-2</v>
      </c>
    </row>
    <row r="15" spans="1:14" ht="15" thickBot="1" x14ac:dyDescent="0.35">
      <c r="A15" s="1" t="s">
        <v>13</v>
      </c>
      <c r="B15" s="1">
        <v>425</v>
      </c>
      <c r="C15" s="8">
        <v>2.9</v>
      </c>
      <c r="D15" s="9">
        <f t="shared" si="5"/>
        <v>0.06</v>
      </c>
      <c r="E15" s="4">
        <f t="shared" si="0"/>
        <v>0.17399999999999999</v>
      </c>
      <c r="F15" s="4">
        <f t="shared" si="1"/>
        <v>6.6000000000000003E-2</v>
      </c>
      <c r="G15" s="3">
        <f>($B$4-C15-0.95)/$B$5</f>
        <v>2.5000000000000022</v>
      </c>
      <c r="H15" s="4">
        <f>D15^2*G15</f>
        <v>9.000000000000008E-3</v>
      </c>
      <c r="I15" s="4">
        <f>F15-H15</f>
        <v>5.6999999999999995E-2</v>
      </c>
      <c r="K15" s="4">
        <f t="shared" si="4"/>
        <v>6.6000000000000003E-2</v>
      </c>
    </row>
    <row r="16" spans="1:14" ht="15" thickBot="1" x14ac:dyDescent="0.35">
      <c r="A16" s="1" t="s">
        <v>14</v>
      </c>
      <c r="B16" s="1">
        <v>4000</v>
      </c>
      <c r="C16" s="8">
        <v>2.8</v>
      </c>
      <c r="D16" s="9">
        <f t="shared" si="5"/>
        <v>0.06</v>
      </c>
      <c r="E16" s="4">
        <f t="shared" si="0"/>
        <v>0.16799999999999998</v>
      </c>
      <c r="F16" s="4">
        <f t="shared" si="1"/>
        <v>7.2000000000000008E-2</v>
      </c>
      <c r="G16" s="3">
        <f>($B$4-C16-0.95)/$B$5</f>
        <v>4.1666666666666705</v>
      </c>
      <c r="H16" s="4">
        <f>D16^2*G16</f>
        <v>1.5000000000000013E-2</v>
      </c>
      <c r="I16" s="4">
        <f>F16-H16</f>
        <v>5.6999999999999995E-2</v>
      </c>
      <c r="K16" s="4">
        <f t="shared" si="4"/>
        <v>7.2000000000000008E-2</v>
      </c>
    </row>
    <row r="19" spans="1:10" x14ac:dyDescent="0.3">
      <c r="A19" s="10" t="s">
        <v>0</v>
      </c>
      <c r="C19">
        <v>24</v>
      </c>
    </row>
    <row r="20" spans="1:10" x14ac:dyDescent="0.3">
      <c r="A20" s="11" t="s">
        <v>19</v>
      </c>
      <c r="B20" s="6" t="s">
        <v>33</v>
      </c>
      <c r="C20" s="6" t="s">
        <v>34</v>
      </c>
      <c r="D20" s="6" t="s">
        <v>40</v>
      </c>
      <c r="E20" s="6" t="s">
        <v>35</v>
      </c>
      <c r="F20" s="6" t="s">
        <v>36</v>
      </c>
      <c r="G20" s="6" t="s">
        <v>25</v>
      </c>
      <c r="H20" s="6" t="s">
        <v>37</v>
      </c>
      <c r="I20" s="6" t="s">
        <v>38</v>
      </c>
      <c r="J20" s="6" t="s">
        <v>39</v>
      </c>
    </row>
    <row r="21" spans="1:10" x14ac:dyDescent="0.3">
      <c r="A21">
        <v>5.0000000000000001E-3</v>
      </c>
      <c r="B21" s="12">
        <v>1.5</v>
      </c>
      <c r="C21">
        <f>C$19*A21</f>
        <v>0.12</v>
      </c>
      <c r="D21">
        <f>($B$4-B21)*A21</f>
        <v>1.2500000000000001E-2</v>
      </c>
      <c r="E21" s="12">
        <f>$B$4-C21-B21</f>
        <v>2.38</v>
      </c>
      <c r="F21" s="4">
        <f>E21*A21</f>
        <v>1.1899999999999999E-2</v>
      </c>
      <c r="G21">
        <f>C21*A21</f>
        <v>5.9999999999999995E-4</v>
      </c>
      <c r="H21" s="12">
        <v>0.8</v>
      </c>
      <c r="I21" s="12">
        <f>$B$4-H21-B21</f>
        <v>1.7000000000000002</v>
      </c>
      <c r="J21" s="4">
        <f>I21*A21</f>
        <v>8.5000000000000006E-3</v>
      </c>
    </row>
    <row r="22" spans="1:10" x14ac:dyDescent="0.3">
      <c r="A22" s="4">
        <v>0.01</v>
      </c>
      <c r="B22">
        <v>1.51</v>
      </c>
      <c r="C22">
        <f t="shared" ref="C22:C32" si="6">C$19*A22</f>
        <v>0.24</v>
      </c>
      <c r="D22">
        <f t="shared" ref="D22:D32" si="7">($B$4-B22)*A22</f>
        <v>2.4900000000000002E-2</v>
      </c>
      <c r="E22" s="12">
        <f>$B$4-C22-B22</f>
        <v>2.25</v>
      </c>
      <c r="F22" s="4">
        <f>E22*A22</f>
        <v>2.2499999999999999E-2</v>
      </c>
      <c r="G22">
        <f>C22*A22</f>
        <v>2.3999999999999998E-3</v>
      </c>
      <c r="H22" s="12">
        <f>H21+0.018</f>
        <v>0.81800000000000006</v>
      </c>
      <c r="I22" s="12">
        <f>$B$4-H22-B22</f>
        <v>1.6719999999999999</v>
      </c>
      <c r="J22" s="4">
        <f>I22*A22</f>
        <v>1.6719999999999999E-2</v>
      </c>
    </row>
    <row r="23" spans="1:10" x14ac:dyDescent="0.3">
      <c r="A23">
        <v>1.4999999999999999E-2</v>
      </c>
      <c r="B23" s="12">
        <v>1.52</v>
      </c>
      <c r="C23">
        <f t="shared" si="6"/>
        <v>0.36</v>
      </c>
      <c r="D23">
        <f t="shared" si="7"/>
        <v>3.7199999999999997E-2</v>
      </c>
      <c r="E23" s="12">
        <f>$B$4-C23-B23</f>
        <v>2.12</v>
      </c>
      <c r="F23" s="4">
        <f>E23*A23</f>
        <v>3.1800000000000002E-2</v>
      </c>
      <c r="G23">
        <f>C23*A23</f>
        <v>5.3999999999999994E-3</v>
      </c>
      <c r="H23" s="12">
        <f t="shared" ref="H23:H32" si="8">H22+0.018</f>
        <v>0.83600000000000008</v>
      </c>
      <c r="I23" s="12">
        <f>$B$4-H23-B23</f>
        <v>1.6439999999999997</v>
      </c>
      <c r="J23" s="4">
        <f>I23*A23</f>
        <v>2.4659999999999994E-2</v>
      </c>
    </row>
    <row r="24" spans="1:10" x14ac:dyDescent="0.3">
      <c r="A24" s="4">
        <v>0.02</v>
      </c>
      <c r="B24">
        <v>1.53</v>
      </c>
      <c r="C24">
        <f t="shared" si="6"/>
        <v>0.48</v>
      </c>
      <c r="D24">
        <f t="shared" si="7"/>
        <v>4.9399999999999999E-2</v>
      </c>
      <c r="E24" s="12">
        <f>$B$4-C24-B24</f>
        <v>1.99</v>
      </c>
      <c r="F24" s="4">
        <f>E24*A24</f>
        <v>3.9800000000000002E-2</v>
      </c>
      <c r="G24">
        <f>C24*A24</f>
        <v>9.5999999999999992E-3</v>
      </c>
      <c r="H24" s="12">
        <f t="shared" si="8"/>
        <v>0.85400000000000009</v>
      </c>
      <c r="I24" s="12">
        <f>$B$4-H24-B24</f>
        <v>1.6159999999999999</v>
      </c>
      <c r="J24" s="4">
        <f>I24*A24</f>
        <v>3.2320000000000002E-2</v>
      </c>
    </row>
    <row r="25" spans="1:10" x14ac:dyDescent="0.3">
      <c r="A25">
        <v>2.5000000000000001E-2</v>
      </c>
      <c r="B25" s="12">
        <v>1.54</v>
      </c>
      <c r="C25">
        <f t="shared" si="6"/>
        <v>0.60000000000000009</v>
      </c>
      <c r="D25">
        <f t="shared" si="7"/>
        <v>6.1499999999999999E-2</v>
      </c>
      <c r="E25" s="12">
        <f>$B$4-C25-B25</f>
        <v>1.8599999999999999</v>
      </c>
      <c r="F25" s="4">
        <f>E25*A25</f>
        <v>4.65E-2</v>
      </c>
      <c r="G25">
        <f>C25*A25</f>
        <v>1.5000000000000003E-2</v>
      </c>
      <c r="H25" s="12">
        <f t="shared" si="8"/>
        <v>0.87200000000000011</v>
      </c>
      <c r="I25" s="12">
        <f>$B$4-H25-B25</f>
        <v>1.5880000000000001</v>
      </c>
      <c r="J25" s="4">
        <f>I25*A25</f>
        <v>3.9700000000000006E-2</v>
      </c>
    </row>
    <row r="26" spans="1:10" x14ac:dyDescent="0.3">
      <c r="A26" s="4">
        <v>0.03</v>
      </c>
      <c r="B26">
        <v>1.55</v>
      </c>
      <c r="C26">
        <f t="shared" si="6"/>
        <v>0.72</v>
      </c>
      <c r="D26">
        <f t="shared" si="7"/>
        <v>7.3499999999999996E-2</v>
      </c>
      <c r="E26" s="12">
        <f>$B$4-C26-B26</f>
        <v>1.7300000000000002</v>
      </c>
      <c r="F26" s="4">
        <f>E26*A26</f>
        <v>5.1900000000000002E-2</v>
      </c>
      <c r="G26">
        <f>C26*A26</f>
        <v>2.1599999999999998E-2</v>
      </c>
      <c r="H26" s="12">
        <f t="shared" si="8"/>
        <v>0.89000000000000012</v>
      </c>
      <c r="I26" s="12">
        <f>$B$4-H26-B26</f>
        <v>1.5599999999999998</v>
      </c>
      <c r="J26" s="4">
        <f>I26*A26</f>
        <v>4.6799999999999994E-2</v>
      </c>
    </row>
    <row r="27" spans="1:10" x14ac:dyDescent="0.3">
      <c r="A27">
        <v>3.5000000000000003E-2</v>
      </c>
      <c r="B27" s="12">
        <v>1.56</v>
      </c>
      <c r="C27">
        <f t="shared" si="6"/>
        <v>0.84000000000000008</v>
      </c>
      <c r="D27">
        <f t="shared" si="7"/>
        <v>8.5400000000000004E-2</v>
      </c>
      <c r="E27" s="12">
        <f>$B$4-C27-B27</f>
        <v>1.6</v>
      </c>
      <c r="F27" s="4">
        <f>E27*A27</f>
        <v>5.6000000000000008E-2</v>
      </c>
      <c r="G27">
        <f>C27*A27</f>
        <v>2.9400000000000006E-2</v>
      </c>
      <c r="H27" s="12">
        <f t="shared" si="8"/>
        <v>0.90800000000000014</v>
      </c>
      <c r="I27" s="12">
        <f>$B$4-H27-B27</f>
        <v>1.5319999999999996</v>
      </c>
      <c r="J27" s="4">
        <f>I27*A27</f>
        <v>5.3619999999999987E-2</v>
      </c>
    </row>
    <row r="28" spans="1:10" x14ac:dyDescent="0.3">
      <c r="A28" s="4">
        <v>0.04</v>
      </c>
      <c r="B28">
        <v>1.57</v>
      </c>
      <c r="C28">
        <f t="shared" si="6"/>
        <v>0.96</v>
      </c>
      <c r="D28">
        <f t="shared" si="7"/>
        <v>9.7199999999999995E-2</v>
      </c>
      <c r="E28" s="12">
        <f>$B$4-C28-B28</f>
        <v>1.47</v>
      </c>
      <c r="F28" s="4">
        <f>E28*A28</f>
        <v>5.8799999999999998E-2</v>
      </c>
      <c r="G28">
        <f>C28*A28</f>
        <v>3.8399999999999997E-2</v>
      </c>
      <c r="H28" s="12">
        <f t="shared" si="8"/>
        <v>0.92600000000000016</v>
      </c>
      <c r="I28" s="12">
        <f>$B$4-H28-B28</f>
        <v>1.5039999999999998</v>
      </c>
      <c r="J28" s="4">
        <f>I28*A28</f>
        <v>6.0159999999999991E-2</v>
      </c>
    </row>
    <row r="29" spans="1:10" x14ac:dyDescent="0.3">
      <c r="A29">
        <v>4.4999999999999998E-2</v>
      </c>
      <c r="B29" s="12">
        <v>1.58</v>
      </c>
      <c r="C29">
        <f t="shared" si="6"/>
        <v>1.08</v>
      </c>
      <c r="D29">
        <f t="shared" si="7"/>
        <v>0.1089</v>
      </c>
      <c r="E29" s="12">
        <f>$B$4-C29-B29</f>
        <v>1.3399999999999999</v>
      </c>
      <c r="F29" s="4">
        <f>E29*A29</f>
        <v>6.0299999999999992E-2</v>
      </c>
      <c r="G29">
        <f>C29*A29</f>
        <v>4.8600000000000004E-2</v>
      </c>
      <c r="H29" s="12">
        <f t="shared" si="8"/>
        <v>0.94400000000000017</v>
      </c>
      <c r="I29" s="12">
        <f>$B$4-H29-B29</f>
        <v>1.476</v>
      </c>
      <c r="J29" s="4">
        <f>I29*A29</f>
        <v>6.6419999999999993E-2</v>
      </c>
    </row>
    <row r="30" spans="1:10" x14ac:dyDescent="0.3">
      <c r="A30" s="4">
        <v>0.05</v>
      </c>
      <c r="B30">
        <v>1.59</v>
      </c>
      <c r="C30">
        <f t="shared" si="6"/>
        <v>1.2000000000000002</v>
      </c>
      <c r="D30">
        <f t="shared" si="7"/>
        <v>0.12050000000000001</v>
      </c>
      <c r="E30" s="12">
        <f>$B$4-C30-B30</f>
        <v>1.2099999999999997</v>
      </c>
      <c r="F30" s="4">
        <f>E30*A30</f>
        <v>6.0499999999999991E-2</v>
      </c>
      <c r="G30">
        <f>C30*A30</f>
        <v>6.0000000000000012E-2</v>
      </c>
      <c r="H30" s="12">
        <f t="shared" si="8"/>
        <v>0.96200000000000019</v>
      </c>
      <c r="I30" s="12">
        <f>$B$4-H30-B30</f>
        <v>1.4479999999999997</v>
      </c>
      <c r="J30" s="4">
        <f>I30*A30</f>
        <v>7.2399999999999992E-2</v>
      </c>
    </row>
    <row r="31" spans="1:10" x14ac:dyDescent="0.3">
      <c r="A31">
        <v>5.5E-2</v>
      </c>
      <c r="B31" s="12">
        <v>1.6</v>
      </c>
      <c r="C31">
        <f t="shared" si="6"/>
        <v>1.32</v>
      </c>
      <c r="D31">
        <f t="shared" si="7"/>
        <v>0.13200000000000001</v>
      </c>
      <c r="E31" s="12">
        <f>$B$4-C31-B31</f>
        <v>1.0799999999999996</v>
      </c>
      <c r="F31" s="4">
        <f>E31*A31</f>
        <v>5.9399999999999981E-2</v>
      </c>
      <c r="G31">
        <f>C31*A31</f>
        <v>7.2599999999999998E-2</v>
      </c>
      <c r="H31" s="12">
        <f t="shared" si="8"/>
        <v>0.9800000000000002</v>
      </c>
      <c r="I31" s="12">
        <f>$B$4-H31-B31</f>
        <v>1.4199999999999995</v>
      </c>
      <c r="J31" s="4">
        <f>I31*A31</f>
        <v>7.8099999999999975E-2</v>
      </c>
    </row>
    <row r="32" spans="1:10" x14ac:dyDescent="0.3">
      <c r="A32" s="4">
        <v>0.06</v>
      </c>
      <c r="B32">
        <v>1.61</v>
      </c>
      <c r="C32">
        <f t="shared" si="6"/>
        <v>1.44</v>
      </c>
      <c r="D32">
        <f t="shared" si="7"/>
        <v>0.14339999999999997</v>
      </c>
      <c r="E32" s="12">
        <f>$B$4-C32-B32</f>
        <v>0.95</v>
      </c>
      <c r="F32" s="4">
        <f>E32*A32</f>
        <v>5.6999999999999995E-2</v>
      </c>
      <c r="G32">
        <f>C32*A32</f>
        <v>8.6399999999999991E-2</v>
      </c>
      <c r="H32" s="12">
        <f t="shared" si="8"/>
        <v>0.99800000000000022</v>
      </c>
      <c r="I32" s="12">
        <f>$B$4-H32-B32</f>
        <v>1.3919999999999997</v>
      </c>
      <c r="J32" s="4">
        <f>I32*A32</f>
        <v>8.3519999999999983E-2</v>
      </c>
    </row>
  </sheetData>
  <mergeCells count="3">
    <mergeCell ref="E6:F6"/>
    <mergeCell ref="G6:I6"/>
    <mergeCell ref="J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Crutcher</dc:creator>
  <cp:lastModifiedBy>Nathaniel Crutcher</cp:lastModifiedBy>
  <dcterms:created xsi:type="dcterms:W3CDTF">2025-02-28T21:36:36Z</dcterms:created>
  <dcterms:modified xsi:type="dcterms:W3CDTF">2025-09-20T16:14:06Z</dcterms:modified>
</cp:coreProperties>
</file>