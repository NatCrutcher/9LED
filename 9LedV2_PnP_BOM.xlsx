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041a59f98cdcb/LED_Lights/SchPcb/9LedCluster/V2b/"/>
    </mc:Choice>
  </mc:AlternateContent>
  <xr:revisionPtr revIDLastSave="88" documentId="8_{F7FBEE9C-B7F0-4553-836F-4FB0B486E914}" xr6:coauthVersionLast="47" xr6:coauthVersionMax="47" xr10:uidLastSave="{A8C64C51-2ACC-4930-97B9-AA70135CCE20}"/>
  <bookViews>
    <workbookView xWindow="21276" yWindow="4236" windowWidth="24708" windowHeight="19152" xr2:uid="{F94A2D29-E220-4F41-A5EB-67C319DFD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E28" i="1" l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</calcChain>
</file>

<file path=xl/sharedStrings.xml><?xml version="1.0" encoding="utf-8"?>
<sst xmlns="http://schemas.openxmlformats.org/spreadsheetml/2006/main" count="569" uniqueCount="314">
  <si>
    <t>NccId</t>
  </si>
  <si>
    <t>Approx Stock</t>
  </si>
  <si>
    <t>Status</t>
  </si>
  <si>
    <t>Location</t>
  </si>
  <si>
    <t>Category</t>
  </si>
  <si>
    <t>Value</t>
  </si>
  <si>
    <t>NumValue</t>
  </si>
  <si>
    <t>Mount</t>
  </si>
  <si>
    <t>PackageDesc</t>
  </si>
  <si>
    <t>Type</t>
  </si>
  <si>
    <t>Manufacturer</t>
  </si>
  <si>
    <t>MPN</t>
  </si>
  <si>
    <t>PrefVendor</t>
  </si>
  <si>
    <t>Vendor1</t>
  </si>
  <si>
    <t>Vendor1PN</t>
  </si>
  <si>
    <t>Vendor2</t>
  </si>
  <si>
    <t>Vendor2PN</t>
  </si>
  <si>
    <t>Price10</t>
  </si>
  <si>
    <t>Rating</t>
  </si>
  <si>
    <t>Tolerance</t>
  </si>
  <si>
    <t>Size</t>
  </si>
  <si>
    <t>Height</t>
  </si>
  <si>
    <t>TapeWxPxT</t>
  </si>
  <si>
    <t>TapeRot</t>
  </si>
  <si>
    <t>Rating2</t>
  </si>
  <si>
    <t>Rating3</t>
  </si>
  <si>
    <t>Notes</t>
  </si>
  <si>
    <t>Symbol</t>
  </si>
  <si>
    <t>Footprint</t>
  </si>
  <si>
    <t>Mini PS Qty 1</t>
  </si>
  <si>
    <t>9LED Qty 1</t>
  </si>
  <si>
    <t>a07</t>
  </si>
  <si>
    <t>active</t>
  </si>
  <si>
    <t>SMT bin</t>
  </si>
  <si>
    <t>capacitor</t>
  </si>
  <si>
    <t>0.1u</t>
  </si>
  <si>
    <t>SMT</t>
  </si>
  <si>
    <t>C0402</t>
  </si>
  <si>
    <t>X7R</t>
  </si>
  <si>
    <t>Murata Electronics</t>
  </si>
  <si>
    <t>GRM155R71H104KE14D</t>
  </si>
  <si>
    <t>Digi-Key</t>
  </si>
  <si>
    <t>490-10700-1-ND</t>
  </si>
  <si>
    <t>Mouser</t>
  </si>
  <si>
    <t>81-GRM155R71H104KE4D</t>
  </si>
  <si>
    <t>50V</t>
  </si>
  <si>
    <t>1.0x0.5</t>
  </si>
  <si>
    <t>8x2x0.66</t>
  </si>
  <si>
    <t>C@24V&gt;=0.039uF</t>
  </si>
  <si>
    <t>ESR&lt;=18mΩ</t>
  </si>
  <si>
    <t>Device:C_Small</t>
  </si>
  <si>
    <t>NwcPcbLibrary:C_0402_1005Metric_HD</t>
  </si>
  <si>
    <t>a09</t>
  </si>
  <si>
    <t>1.0u</t>
  </si>
  <si>
    <t>C0603</t>
  </si>
  <si>
    <t>Taiyo Yuden</t>
  </si>
  <si>
    <t>TMK107B7105KA-T</t>
  </si>
  <si>
    <t>587-2984-1-ND</t>
  </si>
  <si>
    <t>963-TMK107B7105KA-T</t>
  </si>
  <si>
    <t>25V</t>
  </si>
  <si>
    <t>1.6x0.8</t>
  </si>
  <si>
    <t>8x4x1.03</t>
  </si>
  <si>
    <t>C@5V&gt;=0.072uF</t>
  </si>
  <si>
    <t>ESR&lt;=8mΩ</t>
  </si>
  <si>
    <t>NwcPcbLibrary:C_0603_1608Metric_HD</t>
  </si>
  <si>
    <t>a0B</t>
  </si>
  <si>
    <t>2.2u</t>
  </si>
  <si>
    <t>C0805</t>
  </si>
  <si>
    <t>UMK212BB7225KG-T</t>
  </si>
  <si>
    <t>587-3169-1-ND</t>
  </si>
  <si>
    <t>963-UMK212BB7225KG-T</t>
  </si>
  <si>
    <t>2.0x1.25</t>
  </si>
  <si>
    <t>Capacitor_SMD:C_0805_2012Metric</t>
  </si>
  <si>
    <t>a14</t>
  </si>
  <si>
    <t>0.22u</t>
  </si>
  <si>
    <t>KEMET</t>
  </si>
  <si>
    <t>C0402C224M4RACTU</t>
  </si>
  <si>
    <t>399-C0402C224M4RACTUCT-ND</t>
  </si>
  <si>
    <t>80-C0402C224M4RACTU</t>
  </si>
  <si>
    <t>16V</t>
  </si>
  <si>
    <t>8x2x0.70</t>
  </si>
  <si>
    <t>a17</t>
  </si>
  <si>
    <t>22u</t>
  </si>
  <si>
    <t>GRM21BZ71A226ME15L</t>
  </si>
  <si>
    <t>490-GRM21BZ71A226ME15LCT-ND</t>
  </si>
  <si>
    <t>81-GRM21BZ71A226ME5L</t>
  </si>
  <si>
    <t>10V</t>
  </si>
  <si>
    <t>C@4V&gt;=12uF</t>
  </si>
  <si>
    <t>ESR~=2.4mΩ</t>
  </si>
  <si>
    <t>d04</t>
  </si>
  <si>
    <t>diode</t>
  </si>
  <si>
    <t>5.5V</t>
  </si>
  <si>
    <t>TVS-0402</t>
  </si>
  <si>
    <t>TVS</t>
  </si>
  <si>
    <t>KYOCERA AVX</t>
  </si>
  <si>
    <t>GG040205100N2P</t>
  </si>
  <si>
    <t>478-10594-1-ND</t>
  </si>
  <si>
    <t>581-GG040205100N2P</t>
  </si>
  <si>
    <t>5.5V, 10pF</t>
  </si>
  <si>
    <t>1.0x0.6</t>
  </si>
  <si>
    <t>25kV ESD</t>
  </si>
  <si>
    <t>Needs custom footprint</t>
  </si>
  <si>
    <t>Diode:5KPxxCA</t>
  </si>
  <si>
    <t>NwcPcbLibrary:R_0402_1005Metric_HD</t>
  </si>
  <si>
    <t>d06</t>
  </si>
  <si>
    <t>SKM14</t>
  </si>
  <si>
    <t>SOD-123F</t>
  </si>
  <si>
    <t>Schottky</t>
  </si>
  <si>
    <t>Diotec Semiconductor</t>
  </si>
  <si>
    <t>4878-SKM14CT-ND</t>
  </si>
  <si>
    <t>637-SKM14</t>
  </si>
  <si>
    <t>40V, 1A</t>
  </si>
  <si>
    <t>3.7x1.8</t>
  </si>
  <si>
    <t>350mV @ 1A</t>
  </si>
  <si>
    <t>Device:D_Schottky_Small_Filled</t>
  </si>
  <si>
    <t>Diode_SMD:D_SOD-123F</t>
  </si>
  <si>
    <t>k05</t>
  </si>
  <si>
    <t>IC</t>
  </si>
  <si>
    <t>TLC5971</t>
  </si>
  <si>
    <t>VQFN-24 4x4mm_P0.5mm</t>
  </si>
  <si>
    <t>LED PWM driver</t>
  </si>
  <si>
    <t>TI</t>
  </si>
  <si>
    <t>TLC5971RGER</t>
  </si>
  <si>
    <t>296-28448-1-ND</t>
  </si>
  <si>
    <t>595-TLC5971RGER</t>
  </si>
  <si>
    <t>17V, 60mA</t>
  </si>
  <si>
    <t>4.0x4.0</t>
  </si>
  <si>
    <t>12ch, 16bit</t>
  </si>
  <si>
    <t>Driver_LED:TLC5971RGE</t>
  </si>
  <si>
    <t>NwcPcbLibrary:Texas_RGE0024H_VQFN-24-1EP_4x4mm_P0.5mm_EP2.7x2.7mm_ThermalVias</t>
  </si>
  <si>
    <t>k16</t>
  </si>
  <si>
    <t>LMR54406</t>
  </si>
  <si>
    <t>SOT-23-6</t>
  </si>
  <si>
    <t>Regulator, Buck</t>
  </si>
  <si>
    <t>LMR54406DBVR</t>
  </si>
  <si>
    <t>296-LMR54406DBVRCT-ND</t>
  </si>
  <si>
    <t>595-LMR54406DBVR</t>
  </si>
  <si>
    <t>1.1MHz</t>
  </si>
  <si>
    <t>2.9x2.8</t>
  </si>
  <si>
    <t>8x4x0.33</t>
  </si>
  <si>
    <t>600mA</t>
  </si>
  <si>
    <t>Vin=4~36</t>
  </si>
  <si>
    <t>Nwc_Library:LMR54406</t>
  </si>
  <si>
    <t>Package_TO_SOT_SMD:SOT-23-6</t>
  </si>
  <si>
    <t>n05</t>
  </si>
  <si>
    <t>inductor</t>
  </si>
  <si>
    <t>15uH</t>
  </si>
  <si>
    <t>Ind 3.2x2.5mm</t>
  </si>
  <si>
    <t>Shielded, drum</t>
  </si>
  <si>
    <t>TDK</t>
  </si>
  <si>
    <t>BCL322520RT-150M-D</t>
  </si>
  <si>
    <t>445-BCL322520RT-150M-DCT-ND</t>
  </si>
  <si>
    <t>810-BCL322520RT150MD</t>
  </si>
  <si>
    <t>I=1.47</t>
  </si>
  <si>
    <t>3.2x2.5</t>
  </si>
  <si>
    <t>320 mOhm Max</t>
  </si>
  <si>
    <t>Isat=1.33</t>
  </si>
  <si>
    <t>Device:L_Ferrite</t>
  </si>
  <si>
    <t>Inductor_SMD:L_1210_3225Metric</t>
  </si>
  <si>
    <t>n07</t>
  </si>
  <si>
    <t>ferrite</t>
  </si>
  <si>
    <t>600Ω</t>
  </si>
  <si>
    <t>0603</t>
  </si>
  <si>
    <t>Ferrite Bead</t>
  </si>
  <si>
    <t>BLM18KG601SN1D</t>
  </si>
  <si>
    <t>490-5258-1-ND</t>
  </si>
  <si>
    <t>1.3A</t>
  </si>
  <si>
    <t>8x4x1.02</t>
  </si>
  <si>
    <t>DCR=150mΩ</t>
  </si>
  <si>
    <t>600Ω @ 100MHz</t>
  </si>
  <si>
    <t>Device:FerriteBead_Small</t>
  </si>
  <si>
    <t>NwcPcbLibrary:R_0603_1608Metric_HD</t>
  </si>
  <si>
    <t>p03</t>
  </si>
  <si>
    <t>LED</t>
  </si>
  <si>
    <t>Green</t>
  </si>
  <si>
    <t>LED 0505</t>
  </si>
  <si>
    <t>Pure 1414</t>
  </si>
  <si>
    <t>ams-OSRAM</t>
  </si>
  <si>
    <t>GT VJLPL1.13-LPLS-T3T4-1</t>
  </si>
  <si>
    <t>475-GTVJLPL1.13-LPLS-T3T4-1-350-R18CT-ND</t>
  </si>
  <si>
    <t>720-GTVL113LPLST3T41</t>
  </si>
  <si>
    <t>350mA</t>
  </si>
  <si>
    <t>1.4x1.4</t>
  </si>
  <si>
    <t>525nm</t>
  </si>
  <si>
    <t>Nwc_Library:LED_AK</t>
  </si>
  <si>
    <t>NwcPcbLibrary:OSRAM-OSLON-Pure-1414</t>
  </si>
  <si>
    <t>p04</t>
  </si>
  <si>
    <t>Red</t>
  </si>
  <si>
    <t>GR VJLPL1.23-KQKS-A4R2-1</t>
  </si>
  <si>
    <t>475-GRVJLPL1.23-KQKS-A4R2-1-350-R18CT-ND</t>
  </si>
  <si>
    <t>720-GRVL123KQKSA4R21</t>
  </si>
  <si>
    <t>620nm</t>
  </si>
  <si>
    <t>p05</t>
  </si>
  <si>
    <t>White 4000K</t>
  </si>
  <si>
    <t>GW VJLPL1.CM-K3LX-XX55-1</t>
  </si>
  <si>
    <t>475-GWVJLPL1.CM-K3LX-XX55-1-350-R18CT-ND</t>
  </si>
  <si>
    <t>720-GWVL1CMK3LXXX551</t>
  </si>
  <si>
    <t>90 CRI</t>
  </si>
  <si>
    <t>p0F</t>
  </si>
  <si>
    <t>Far Red</t>
  </si>
  <si>
    <t>LED 0808</t>
  </si>
  <si>
    <t>Luxeon C</t>
  </si>
  <si>
    <t>Lumileds</t>
  </si>
  <si>
    <t>L1C1-FRD1000000000</t>
  </si>
  <si>
    <t>1416-1913-1-ND</t>
  </si>
  <si>
    <t>997-L1C1-FRD10000000</t>
  </si>
  <si>
    <t>2.0x2.0</t>
  </si>
  <si>
    <t>8x4x0.31</t>
  </si>
  <si>
    <t>735nm</t>
  </si>
  <si>
    <t>Dome lens</t>
  </si>
  <si>
    <t>Nwc_Library:LED_Luxeon_C_CZ_AK</t>
  </si>
  <si>
    <t>NwcPcbLibrary:Luxeon_C_LED_AK</t>
  </si>
  <si>
    <t>p15</t>
  </si>
  <si>
    <t>Yellow PC</t>
  </si>
  <si>
    <t>GY VJLPL1.F3-KULQ-YCYK-1</t>
  </si>
  <si>
    <t>475-GYVJLPL1.F3-KULQ-YCYK-1-350-R18CT-ND</t>
  </si>
  <si>
    <t>720-GYVL1F3KULQYCYK1</t>
  </si>
  <si>
    <t>590nm</t>
  </si>
  <si>
    <t>p16</t>
  </si>
  <si>
    <t>PC Blue</t>
  </si>
  <si>
    <t>GB VJLPL1.F3-JRJT-BABB-1</t>
  </si>
  <si>
    <t>475-GBVJLPL1.F3-JRJT-BABB-1CT-ND</t>
  </si>
  <si>
    <t>720-GBVL1F3JRJTBABB1</t>
  </si>
  <si>
    <t>460nm</t>
  </si>
  <si>
    <t>p17</t>
  </si>
  <si>
    <t>Violet</t>
  </si>
  <si>
    <t>LED 0806</t>
  </si>
  <si>
    <t>XE-G</t>
  </si>
  <si>
    <t>Cree</t>
  </si>
  <si>
    <t>XEGAVT-H0-0000-000-000000K2001</t>
  </si>
  <si>
    <t>90-XEGAVT-H2-0000-000-000000K2001CT-ND</t>
  </si>
  <si>
    <t>941-XEGAVTH000K2001</t>
  </si>
  <si>
    <t>1A</t>
  </si>
  <si>
    <t>2.05x1.6</t>
  </si>
  <si>
    <t>8x4x0.3</t>
  </si>
  <si>
    <t>410nm</t>
  </si>
  <si>
    <t>Nwc_Library:LED_Thermal</t>
  </si>
  <si>
    <t>NwcPcbLibrary:Cree_XE-G</t>
  </si>
  <si>
    <t>p18</t>
  </si>
  <si>
    <t>Photo Red</t>
  </si>
  <si>
    <t>XEGAHR-H2-0000-000-000000H6001</t>
  </si>
  <si>
    <t>90-XEGAHR-H2-0000-000-000000H6001CT-ND</t>
  </si>
  <si>
    <t>941-XEGAHRH200H6001</t>
  </si>
  <si>
    <t>660nm</t>
  </si>
  <si>
    <t>p19</t>
  </si>
  <si>
    <t>Cyan</t>
  </si>
  <si>
    <t>XEGACY-H2-0000-000-000000T3001</t>
  </si>
  <si>
    <t>90-XEGACY-H0-0000-000-000000S5001CT-ND</t>
  </si>
  <si>
    <t>941-XEGACYH20T3001</t>
  </si>
  <si>
    <t>500nm</t>
  </si>
  <si>
    <t>r0B</t>
  </si>
  <si>
    <t>resistor</t>
  </si>
  <si>
    <t>825R</t>
  </si>
  <si>
    <t>R0402</t>
  </si>
  <si>
    <t>Thin film</t>
  </si>
  <si>
    <t>Susumu</t>
  </si>
  <si>
    <t>RR0510P-8250-D</t>
  </si>
  <si>
    <t>408-RR0510P-8250-DCT-ND</t>
  </si>
  <si>
    <t>754-RR0510P-8250D</t>
  </si>
  <si>
    <t>0.063W</t>
  </si>
  <si>
    <t>25ppm/C</t>
  </si>
  <si>
    <t>Device:R_Small_US</t>
  </si>
  <si>
    <t>r14</t>
  </si>
  <si>
    <t>100k</t>
  </si>
  <si>
    <t>R0603</t>
  </si>
  <si>
    <t>YAGEO</t>
  </si>
  <si>
    <t>RT0603DRD07100KL</t>
  </si>
  <si>
    <t>311-100KDCT-ND</t>
  </si>
  <si>
    <t>603-RT0603DRD07100KL</t>
  </si>
  <si>
    <t>0.1W</t>
  </si>
  <si>
    <t>r1C</t>
  </si>
  <si>
    <t>27R</t>
  </si>
  <si>
    <t>RT0402FRE0727RL</t>
  </si>
  <si>
    <t>YAG3343CT-ND</t>
  </si>
  <si>
    <t>603-RT0402FRE0727RL</t>
  </si>
  <si>
    <t>50ppm/C</t>
  </si>
  <si>
    <t>r22</t>
  </si>
  <si>
    <t>24.9k</t>
  </si>
  <si>
    <t>RR0816P-2492-D-39C</t>
  </si>
  <si>
    <t>RR08P24.9KDCT-ND</t>
  </si>
  <si>
    <t>754-RR0816P-2492D39C</t>
  </si>
  <si>
    <t>8x4x0.65</t>
  </si>
  <si>
    <t>r25</t>
  </si>
  <si>
    <t>10R</t>
  </si>
  <si>
    <t>Thick film</t>
  </si>
  <si>
    <t>KOA Speer</t>
  </si>
  <si>
    <t>RK73H1JTTD10R0F</t>
  </si>
  <si>
    <t>2019-RK73H1JTTD10R0FCT-ND</t>
  </si>
  <si>
    <t>660-RK73H1JTTD10R0F</t>
  </si>
  <si>
    <t>0.125W</t>
  </si>
  <si>
    <t>8x4x0.66</t>
  </si>
  <si>
    <t>100ppm/C</t>
  </si>
  <si>
    <t>r26</t>
  </si>
  <si>
    <t>12R</t>
  </si>
  <si>
    <t>RK73H1JTTD12R0F</t>
  </si>
  <si>
    <t>2019-RK73H1JTTD12R0FCT-ND</t>
  </si>
  <si>
    <t>660-RK73H1JTTD12R0F</t>
  </si>
  <si>
    <t>Tape W</t>
  </si>
  <si>
    <t>Tape T</t>
  </si>
  <si>
    <t>Tape T Nom</t>
  </si>
  <si>
    <t>J02</t>
  </si>
  <si>
    <t>Bin 2</t>
  </si>
  <si>
    <t>PCB</t>
  </si>
  <si>
    <t>9LED v2</t>
  </si>
  <si>
    <t>Custom PCB</t>
  </si>
  <si>
    <t>Jlcpcb</t>
  </si>
  <si>
    <t>9LedCluster v2</t>
  </si>
  <si>
    <t>26.0x26.0</t>
  </si>
  <si>
    <t>8x4x0.32</t>
  </si>
  <si>
    <t>8x4x0.28</t>
  </si>
  <si>
    <t>12x8x0.31</t>
  </si>
  <si>
    <t>8x2x0.42</t>
  </si>
  <si>
    <t>8x4x0.22</t>
  </si>
  <si>
    <t>8x4x0.61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</si>
</sst>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_);[Red]\(&quot;$&quot;#,##0.000\)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Cascadia Code"/>
      <family val="3"/>
    </font>
    <font>
      <b/>
      <sz val="11"/>
      <color theme="1"/>
      <name val="Aptos Narrow"/>
      <family val="2"/>
      <scheme val="minor"/>
    </font>
    <font>
      <strike/>
      <sz val="10"/>
      <color theme="1"/>
      <name val="Cascadia Code"/>
      <family val="3"/>
    </font>
    <font>
      <strike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 wrapText="1"/>
    </xf>
    <xf numFmtId="2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2" fontId="0" fillId="3" borderId="3" xfId="0" applyNumberForma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1" fontId="0" fillId="3" borderId="3" xfId="0" applyNumberFormat="1" applyFill="1" applyBorder="1" applyAlignment="1">
      <alignment vertical="center"/>
    </xf>
    <xf numFmtId="0" fontId="0" fillId="3" borderId="3" xfId="0" quotePrefix="1" applyFill="1" applyBorder="1" applyAlignment="1">
      <alignment vertical="center"/>
    </xf>
    <xf numFmtId="1" fontId="0" fillId="3" borderId="3" xfId="0" applyNumberFormat="1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9" fontId="0" fillId="3" borderId="3" xfId="0" applyNumberFormat="1" applyFill="1" applyBorder="1" applyAlignment="1">
      <alignment horizontal="left" vertical="center"/>
    </xf>
    <xf numFmtId="2" fontId="0" fillId="3" borderId="3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1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3" xfId="0" applyFill="1" applyBorder="1"/>
    <xf numFmtId="0" fontId="0" fillId="3" borderId="2" xfId="0" applyFill="1" applyBorder="1" applyAlignment="1">
      <alignment horizontal="left" vertical="center"/>
    </xf>
    <xf numFmtId="165" fontId="0" fillId="0" borderId="3" xfId="0" applyNumberFormat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1" fillId="2" borderId="0" xfId="0" applyFont="1" applyFill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 wrapText="1"/>
    </xf>
    <xf numFmtId="2" fontId="3" fillId="5" borderId="0" xfId="0" applyNumberFormat="1" applyFont="1" applyFill="1"/>
    <xf numFmtId="2" fontId="3" fillId="9" borderId="0" xfId="0" applyNumberFormat="1" applyFont="1" applyFill="1"/>
    <xf numFmtId="2" fontId="3" fillId="10" borderId="0" xfId="0" applyNumberFormat="1" applyFont="1" applyFill="1"/>
    <xf numFmtId="2" fontId="3" fillId="7" borderId="0" xfId="0" applyNumberFormat="1" applyFont="1" applyFill="1"/>
    <xf numFmtId="2" fontId="3" fillId="8" borderId="0" xfId="0" applyNumberFormat="1" applyFont="1" applyFill="1"/>
    <xf numFmtId="0" fontId="4" fillId="3" borderId="3" xfId="0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11" fontId="5" fillId="3" borderId="3" xfId="0" applyNumberFormat="1" applyFont="1" applyFill="1" applyBorder="1" applyAlignment="1">
      <alignment vertical="center"/>
    </xf>
    <xf numFmtId="1" fontId="5" fillId="3" borderId="3" xfId="0" applyNumberFormat="1" applyFont="1" applyFill="1" applyBorder="1" applyAlignment="1">
      <alignment vertical="center"/>
    </xf>
    <xf numFmtId="164" fontId="5" fillId="3" borderId="3" xfId="0" applyNumberFormat="1" applyFont="1" applyFill="1" applyBorder="1" applyAlignment="1">
      <alignment vertical="center"/>
    </xf>
    <xf numFmtId="2" fontId="5" fillId="3" borderId="3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2" fontId="5" fillId="5" borderId="0" xfId="0" applyNumberFormat="1" applyFont="1" applyFill="1"/>
    <xf numFmtId="2" fontId="3" fillId="6" borderId="0" xfId="0" applyNumberFormat="1" applyFont="1" applyFill="1"/>
    <xf numFmtId="2" fontId="3" fillId="4" borderId="0" xfId="0" applyNumberFormat="1" applyFont="1" applyFill="1"/>
    <xf numFmtId="1" fontId="0" fillId="0" borderId="3" xfId="0" applyNumberFormat="1" applyBorder="1" applyAlignment="1">
      <alignment horizontal="left" vertical="center"/>
    </xf>
    <xf numFmtId="1" fontId="0" fillId="3" borderId="3" xfId="0" applyNumberFormat="1" applyFill="1" applyBorder="1" applyAlignment="1">
      <alignment horizontal="left" vertical="center"/>
    </xf>
    <xf numFmtId="1" fontId="5" fillId="3" borderId="3" xfId="0" applyNumberFormat="1" applyFont="1" applyFill="1" applyBorder="1" applyAlignment="1">
      <alignment horizontal="left" vertical="center"/>
    </xf>
    <xf numFmtId="1" fontId="0" fillId="3" borderId="3" xfId="0" applyNumberForma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3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EC34-44C2-45BC-B37D-943CEF713D5D}">
  <dimension ref="A1:AI28"/>
  <sheetViews>
    <sheetView tabSelected="1" workbookViewId="0">
      <selection activeCell="X12" sqref="X12"/>
    </sheetView>
  </sheetViews>
  <sheetFormatPr defaultRowHeight="14.4" x14ac:dyDescent="0.3"/>
  <cols>
    <col min="3" max="3" width="0" hidden="1" customWidth="1"/>
    <col min="5" max="5" width="12" customWidth="1"/>
    <col min="6" max="6" width="11.88671875" customWidth="1"/>
    <col min="7" max="7" width="0" hidden="1" customWidth="1"/>
    <col min="9" max="9" width="13" customWidth="1"/>
    <col min="10" max="10" width="14.21875" customWidth="1"/>
    <col min="11" max="11" width="18.21875" customWidth="1"/>
    <col min="12" max="12" width="23.77734375" style="15" customWidth="1"/>
    <col min="13" max="20" width="0" hidden="1" customWidth="1"/>
    <col min="23" max="23" width="11" customWidth="1"/>
    <col min="25" max="25" width="17.21875" hidden="1" customWidth="1"/>
    <col min="26" max="26" width="13.5546875" hidden="1" customWidth="1"/>
    <col min="27" max="28" width="0" hidden="1" customWidth="1"/>
    <col min="29" max="29" width="50.33203125" customWidth="1"/>
    <col min="30" max="30" width="0" hidden="1" customWidth="1"/>
  </cols>
  <sheetData>
    <row r="1" spans="1:34" x14ac:dyDescent="0.3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7" t="s">
        <v>29</v>
      </c>
      <c r="AE1" s="17" t="s">
        <v>30</v>
      </c>
      <c r="AF1" s="44" t="s">
        <v>297</v>
      </c>
      <c r="AG1" s="44" t="s">
        <v>298</v>
      </c>
      <c r="AH1" s="44" t="s">
        <v>299</v>
      </c>
    </row>
    <row r="2" spans="1:34" x14ac:dyDescent="0.3">
      <c r="A2" s="18" t="s">
        <v>31</v>
      </c>
      <c r="B2" s="19">
        <v>108</v>
      </c>
      <c r="C2" s="11" t="s">
        <v>32</v>
      </c>
      <c r="D2" s="11" t="s">
        <v>33</v>
      </c>
      <c r="E2" s="3" t="s">
        <v>34</v>
      </c>
      <c r="F2" s="3" t="s">
        <v>35</v>
      </c>
      <c r="G2" s="20">
        <v>9.9999999999999995E-8</v>
      </c>
      <c r="H2" s="3" t="s">
        <v>36</v>
      </c>
      <c r="I2" s="21" t="s">
        <v>37</v>
      </c>
      <c r="J2" s="3" t="s">
        <v>38</v>
      </c>
      <c r="K2" s="3" t="s">
        <v>39</v>
      </c>
      <c r="L2" s="11" t="s">
        <v>40</v>
      </c>
      <c r="M2" s="22">
        <v>2</v>
      </c>
      <c r="N2" s="22" t="s">
        <v>41</v>
      </c>
      <c r="O2" s="11" t="s">
        <v>42</v>
      </c>
      <c r="P2" s="3" t="s">
        <v>43</v>
      </c>
      <c r="Q2" s="3" t="s">
        <v>44</v>
      </c>
      <c r="R2" s="23">
        <v>2.5000000000000001E-2</v>
      </c>
      <c r="S2" s="3" t="s">
        <v>45</v>
      </c>
      <c r="T2" s="24">
        <v>0.1</v>
      </c>
      <c r="U2" s="24" t="s">
        <v>46</v>
      </c>
      <c r="V2" s="25">
        <v>0.5</v>
      </c>
      <c r="W2" s="25" t="s">
        <v>47</v>
      </c>
      <c r="X2" s="67">
        <v>-90</v>
      </c>
      <c r="Y2" s="3" t="s">
        <v>48</v>
      </c>
      <c r="Z2" s="3" t="s">
        <v>49</v>
      </c>
      <c r="AA2" s="3"/>
      <c r="AB2" s="3" t="s">
        <v>50</v>
      </c>
      <c r="AC2" s="3" t="s">
        <v>51</v>
      </c>
      <c r="AD2" s="26"/>
      <c r="AE2" s="26">
        <v>2</v>
      </c>
      <c r="AF2" t="str">
        <f>LEFT(W2,FIND("x",W2)-1)</f>
        <v>8</v>
      </c>
      <c r="AG2" s="45">
        <f>VALUE(_xlfn.LET(_xlpm.x, W2, RIGHT(_xlpm.x, LEN(_xlpm.x) - FIND("*", SUBSTITUTE(_xlpm.x, "x", "*", LEN(_xlpm.x) - LEN(SUBSTITUTE(_xlpm.x, "x", "")))))))</f>
        <v>0.66</v>
      </c>
      <c r="AH2" s="51">
        <v>0.65</v>
      </c>
    </row>
    <row r="3" spans="1:34" x14ac:dyDescent="0.3">
      <c r="A3" s="27" t="s">
        <v>52</v>
      </c>
      <c r="B3" s="28">
        <v>35</v>
      </c>
      <c r="C3" s="14" t="s">
        <v>32</v>
      </c>
      <c r="D3" s="14" t="s">
        <v>33</v>
      </c>
      <c r="E3" s="7" t="s">
        <v>34</v>
      </c>
      <c r="F3" s="7" t="s">
        <v>53</v>
      </c>
      <c r="G3" s="29">
        <v>9.9999999999999995E-7</v>
      </c>
      <c r="H3" s="7" t="s">
        <v>36</v>
      </c>
      <c r="I3" s="7" t="s">
        <v>54</v>
      </c>
      <c r="J3" s="7" t="s">
        <v>38</v>
      </c>
      <c r="K3" s="7" t="s">
        <v>55</v>
      </c>
      <c r="L3" s="14" t="s">
        <v>56</v>
      </c>
      <c r="M3" s="30">
        <v>2</v>
      </c>
      <c r="N3" s="30" t="s">
        <v>41</v>
      </c>
      <c r="O3" s="14" t="s">
        <v>57</v>
      </c>
      <c r="P3" s="7" t="s">
        <v>43</v>
      </c>
      <c r="Q3" s="7" t="s">
        <v>58</v>
      </c>
      <c r="R3" s="31">
        <v>1.2E-2</v>
      </c>
      <c r="S3" s="7" t="s">
        <v>59</v>
      </c>
      <c r="T3" s="32">
        <v>0.1</v>
      </c>
      <c r="U3" s="32" t="s">
        <v>60</v>
      </c>
      <c r="V3" s="33">
        <v>0.8</v>
      </c>
      <c r="W3" s="33" t="s">
        <v>61</v>
      </c>
      <c r="X3" s="66">
        <v>-90</v>
      </c>
      <c r="Y3" s="7" t="s">
        <v>62</v>
      </c>
      <c r="Z3" s="7" t="s">
        <v>63</v>
      </c>
      <c r="AA3" s="7"/>
      <c r="AB3" s="7" t="s">
        <v>50</v>
      </c>
      <c r="AC3" s="7" t="s">
        <v>64</v>
      </c>
      <c r="AD3" s="34"/>
      <c r="AE3" s="34">
        <v>1</v>
      </c>
      <c r="AF3" t="str">
        <f>LEFT(W3,FIND("x",W3)-1)</f>
        <v>8</v>
      </c>
      <c r="AG3" s="45">
        <f>VALUE(_xlfn.LET(_xlpm.x, W3, RIGHT(_xlpm.x, LEN(_xlpm.x) - FIND("*", SUBSTITUTE(_xlpm.x, "x", "*", LEN(_xlpm.x) - LEN(SUBSTITUTE(_xlpm.x, "x", "")))))))</f>
        <v>1.03</v>
      </c>
      <c r="AH3" s="48">
        <v>1</v>
      </c>
    </row>
    <row r="4" spans="1:34" x14ac:dyDescent="0.3">
      <c r="A4" s="18" t="s">
        <v>65</v>
      </c>
      <c r="B4" s="19">
        <v>19</v>
      </c>
      <c r="C4" s="11" t="s">
        <v>32</v>
      </c>
      <c r="D4" s="11" t="s">
        <v>33</v>
      </c>
      <c r="E4" s="3" t="s">
        <v>34</v>
      </c>
      <c r="F4" s="3" t="s">
        <v>66</v>
      </c>
      <c r="G4" s="20">
        <v>2.2000000000000001E-6</v>
      </c>
      <c r="H4" s="3" t="s">
        <v>36</v>
      </c>
      <c r="I4" s="21" t="s">
        <v>67</v>
      </c>
      <c r="J4" s="3" t="s">
        <v>38</v>
      </c>
      <c r="K4" s="3" t="s">
        <v>55</v>
      </c>
      <c r="L4" s="11" t="s">
        <v>68</v>
      </c>
      <c r="M4" s="22">
        <v>2</v>
      </c>
      <c r="N4" s="22" t="s">
        <v>41</v>
      </c>
      <c r="O4" s="11" t="s">
        <v>69</v>
      </c>
      <c r="P4" s="3" t="s">
        <v>43</v>
      </c>
      <c r="Q4" s="3" t="s">
        <v>70</v>
      </c>
      <c r="R4" s="23">
        <v>0.192</v>
      </c>
      <c r="S4" s="3" t="s">
        <v>45</v>
      </c>
      <c r="T4" s="24">
        <v>0.1</v>
      </c>
      <c r="U4" s="24" t="s">
        <v>71</v>
      </c>
      <c r="V4" s="25">
        <v>1.25</v>
      </c>
      <c r="W4" s="25" t="s">
        <v>308</v>
      </c>
      <c r="X4" s="67">
        <v>-90</v>
      </c>
      <c r="Y4" s="3"/>
      <c r="Z4" s="3"/>
      <c r="AA4" s="3"/>
      <c r="AB4" s="3" t="s">
        <v>50</v>
      </c>
      <c r="AC4" s="3" t="s">
        <v>72</v>
      </c>
      <c r="AD4" s="26">
        <v>1</v>
      </c>
      <c r="AE4" s="26">
        <v>1</v>
      </c>
      <c r="AF4" t="str">
        <f>LEFT(W4,FIND("x",W4)-1)</f>
        <v>8</v>
      </c>
      <c r="AG4" s="45">
        <f>VALUE(_xlfn.LET(_xlpm.x, W4, RIGHT(_xlpm.x, LEN(_xlpm.x) - FIND("*", SUBSTITUTE(_xlpm.x, "x", "*", LEN(_xlpm.x) - LEN(SUBSTITUTE(_xlpm.x, "x", "")))))))</f>
        <v>0.32</v>
      </c>
      <c r="AH4" s="47">
        <v>0.3</v>
      </c>
    </row>
    <row r="5" spans="1:34" x14ac:dyDescent="0.3">
      <c r="A5" s="27" t="s">
        <v>73</v>
      </c>
      <c r="B5" s="28">
        <v>76</v>
      </c>
      <c r="C5" s="14" t="s">
        <v>32</v>
      </c>
      <c r="D5" s="14" t="s">
        <v>33</v>
      </c>
      <c r="E5" s="7" t="s">
        <v>34</v>
      </c>
      <c r="F5" s="7" t="s">
        <v>74</v>
      </c>
      <c r="G5" s="29">
        <v>2.2000000000000001E-7</v>
      </c>
      <c r="H5" s="7" t="s">
        <v>36</v>
      </c>
      <c r="I5" s="35" t="s">
        <v>37</v>
      </c>
      <c r="J5" s="7" t="s">
        <v>38</v>
      </c>
      <c r="K5" s="7" t="s">
        <v>75</v>
      </c>
      <c r="L5" s="14" t="s">
        <v>76</v>
      </c>
      <c r="M5" s="30">
        <v>2</v>
      </c>
      <c r="N5" s="30" t="s">
        <v>41</v>
      </c>
      <c r="O5" s="14" t="s">
        <v>77</v>
      </c>
      <c r="P5" s="7" t="s">
        <v>43</v>
      </c>
      <c r="Q5" s="7" t="s">
        <v>78</v>
      </c>
      <c r="R5" s="31">
        <v>0.16900000000000001</v>
      </c>
      <c r="S5" s="7" t="s">
        <v>79</v>
      </c>
      <c r="T5" s="32">
        <v>0.2</v>
      </c>
      <c r="U5" s="32" t="s">
        <v>46</v>
      </c>
      <c r="V5" s="33">
        <v>0.5</v>
      </c>
      <c r="W5" s="33" t="s">
        <v>80</v>
      </c>
      <c r="X5" s="66">
        <v>-90</v>
      </c>
      <c r="Y5" s="7"/>
      <c r="Z5" s="7"/>
      <c r="AA5" s="7"/>
      <c r="AB5" s="7" t="s">
        <v>50</v>
      </c>
      <c r="AC5" s="7" t="s">
        <v>51</v>
      </c>
      <c r="AD5" s="34"/>
      <c r="AE5" s="34">
        <v>3</v>
      </c>
      <c r="AF5" t="str">
        <f>LEFT(W5,FIND("x",W5)-1)</f>
        <v>8</v>
      </c>
      <c r="AG5" s="45">
        <f>VALUE(_xlfn.LET(_xlpm.x, W5, RIGHT(_xlpm.x, LEN(_xlpm.x) - FIND("*", SUBSTITUTE(_xlpm.x, "x", "*", LEN(_xlpm.x) - LEN(SUBSTITUTE(_xlpm.x, "x", "")))))))</f>
        <v>0.7</v>
      </c>
      <c r="AH5" s="49">
        <v>0.75</v>
      </c>
    </row>
    <row r="6" spans="1:34" x14ac:dyDescent="0.3">
      <c r="A6" s="18" t="s">
        <v>81</v>
      </c>
      <c r="B6" s="19">
        <v>17</v>
      </c>
      <c r="C6" s="11" t="s">
        <v>32</v>
      </c>
      <c r="D6" s="11" t="s">
        <v>33</v>
      </c>
      <c r="E6" s="3" t="s">
        <v>34</v>
      </c>
      <c r="F6" s="3" t="s">
        <v>82</v>
      </c>
      <c r="G6" s="20">
        <v>2.1999999999999999E-5</v>
      </c>
      <c r="H6" s="3" t="s">
        <v>36</v>
      </c>
      <c r="I6" s="3" t="s">
        <v>67</v>
      </c>
      <c r="J6" s="3" t="s">
        <v>38</v>
      </c>
      <c r="K6" s="3" t="s">
        <v>39</v>
      </c>
      <c r="L6" s="11" t="s">
        <v>83</v>
      </c>
      <c r="M6" s="22">
        <v>0</v>
      </c>
      <c r="N6" s="22" t="s">
        <v>41</v>
      </c>
      <c r="O6" s="11" t="s">
        <v>84</v>
      </c>
      <c r="P6" s="3" t="s">
        <v>43</v>
      </c>
      <c r="Q6" s="3" t="s">
        <v>85</v>
      </c>
      <c r="R6" s="23">
        <v>0.182</v>
      </c>
      <c r="S6" s="3" t="s">
        <v>86</v>
      </c>
      <c r="T6" s="24">
        <v>0.2</v>
      </c>
      <c r="U6" s="24" t="s">
        <v>71</v>
      </c>
      <c r="V6" s="25">
        <v>1.25</v>
      </c>
      <c r="W6" s="25" t="s">
        <v>139</v>
      </c>
      <c r="X6" s="67">
        <v>-90</v>
      </c>
      <c r="Y6" s="3" t="s">
        <v>87</v>
      </c>
      <c r="Z6" s="3" t="s">
        <v>88</v>
      </c>
      <c r="AA6" s="3"/>
      <c r="AB6" s="3" t="s">
        <v>50</v>
      </c>
      <c r="AC6" s="3" t="s">
        <v>72</v>
      </c>
      <c r="AD6" s="26"/>
      <c r="AE6" s="26">
        <v>1</v>
      </c>
      <c r="AF6" t="str">
        <f>LEFT(W6,FIND("x",W6)-1)</f>
        <v>8</v>
      </c>
      <c r="AG6" s="45">
        <f>VALUE(_xlfn.LET(_xlpm.x, W6, RIGHT(_xlpm.x, LEN(_xlpm.x) - FIND("*", SUBSTITUTE(_xlpm.x, "x", "*", LEN(_xlpm.x) - LEN(SUBSTITUTE(_xlpm.x, "x", "")))))))</f>
        <v>0.33</v>
      </c>
      <c r="AH6" s="47">
        <v>0.3</v>
      </c>
    </row>
    <row r="7" spans="1:34" x14ac:dyDescent="0.3">
      <c r="A7" s="27" t="s">
        <v>89</v>
      </c>
      <c r="B7" s="28">
        <v>28</v>
      </c>
      <c r="C7" s="14" t="s">
        <v>32</v>
      </c>
      <c r="D7" s="14" t="s">
        <v>33</v>
      </c>
      <c r="E7" s="7" t="s">
        <v>90</v>
      </c>
      <c r="F7" s="7" t="s">
        <v>91</v>
      </c>
      <c r="G7" s="29">
        <v>5.5</v>
      </c>
      <c r="H7" s="7" t="s">
        <v>36</v>
      </c>
      <c r="I7" s="35" t="s">
        <v>92</v>
      </c>
      <c r="J7" s="7" t="s">
        <v>93</v>
      </c>
      <c r="K7" s="7" t="s">
        <v>94</v>
      </c>
      <c r="L7" s="14" t="s">
        <v>95</v>
      </c>
      <c r="M7" s="30">
        <v>2</v>
      </c>
      <c r="N7" s="30" t="s">
        <v>41</v>
      </c>
      <c r="O7" s="14" t="s">
        <v>96</v>
      </c>
      <c r="P7" s="7" t="s">
        <v>43</v>
      </c>
      <c r="Q7" s="7" t="s">
        <v>97</v>
      </c>
      <c r="R7" s="31">
        <v>0.127</v>
      </c>
      <c r="S7" s="7" t="s">
        <v>98</v>
      </c>
      <c r="T7" s="14"/>
      <c r="U7" s="36" t="s">
        <v>99</v>
      </c>
      <c r="V7" s="33">
        <v>0.5</v>
      </c>
      <c r="W7" s="33" t="s">
        <v>47</v>
      </c>
      <c r="X7" s="66">
        <v>-90</v>
      </c>
      <c r="Y7" s="7" t="s">
        <v>100</v>
      </c>
      <c r="Z7" s="7"/>
      <c r="AA7" s="37" t="s">
        <v>101</v>
      </c>
      <c r="AB7" s="7" t="s">
        <v>102</v>
      </c>
      <c r="AC7" s="7" t="s">
        <v>103</v>
      </c>
      <c r="AD7" s="34"/>
      <c r="AE7" s="34">
        <v>4</v>
      </c>
      <c r="AF7" t="str">
        <f>LEFT(W7,FIND("x",W7)-1)</f>
        <v>8</v>
      </c>
      <c r="AG7" s="45">
        <f>VALUE(_xlfn.LET(_xlpm.x, W7, RIGHT(_xlpm.x, LEN(_xlpm.x) - FIND("*", SUBSTITUTE(_xlpm.x, "x", "*", LEN(_xlpm.x) - LEN(SUBSTITUTE(_xlpm.x, "x", "")))))))</f>
        <v>0.66</v>
      </c>
      <c r="AH7" s="51">
        <v>0.65</v>
      </c>
    </row>
    <row r="8" spans="1:34" x14ac:dyDescent="0.3">
      <c r="A8" s="18" t="s">
        <v>104</v>
      </c>
      <c r="B8" s="19">
        <v>7</v>
      </c>
      <c r="C8" s="11" t="s">
        <v>32</v>
      </c>
      <c r="D8" s="11" t="s">
        <v>33</v>
      </c>
      <c r="E8" s="3" t="s">
        <v>90</v>
      </c>
      <c r="F8" s="3" t="s">
        <v>105</v>
      </c>
      <c r="G8" s="20"/>
      <c r="H8" s="3" t="s">
        <v>36</v>
      </c>
      <c r="I8" s="3" t="s">
        <v>106</v>
      </c>
      <c r="J8" s="3" t="s">
        <v>107</v>
      </c>
      <c r="K8" s="3" t="s">
        <v>108</v>
      </c>
      <c r="L8" s="11" t="s">
        <v>105</v>
      </c>
      <c r="M8" s="22">
        <v>0</v>
      </c>
      <c r="N8" s="22" t="s">
        <v>41</v>
      </c>
      <c r="O8" s="11" t="s">
        <v>109</v>
      </c>
      <c r="P8" s="3" t="s">
        <v>43</v>
      </c>
      <c r="Q8" s="3" t="s">
        <v>110</v>
      </c>
      <c r="R8" s="23">
        <v>0.186</v>
      </c>
      <c r="S8" s="3" t="s">
        <v>111</v>
      </c>
      <c r="T8" s="11"/>
      <c r="U8" s="11" t="s">
        <v>112</v>
      </c>
      <c r="V8" s="25">
        <v>1.3</v>
      </c>
      <c r="W8" s="25" t="s">
        <v>309</v>
      </c>
      <c r="X8" s="67">
        <v>-90</v>
      </c>
      <c r="Y8" s="3" t="s">
        <v>113</v>
      </c>
      <c r="Z8" s="3"/>
      <c r="AA8" s="3"/>
      <c r="AB8" s="3" t="s">
        <v>114</v>
      </c>
      <c r="AC8" s="3" t="s">
        <v>115</v>
      </c>
      <c r="AD8" s="26"/>
      <c r="AE8" s="26">
        <v>1</v>
      </c>
      <c r="AF8" t="str">
        <f>LEFT(W8,FIND("x",W8)-1)</f>
        <v>8</v>
      </c>
      <c r="AG8" s="45">
        <f>VALUE(_xlfn.LET(_xlpm.x, W8, RIGHT(_xlpm.x, LEN(_xlpm.x) - FIND("*", SUBSTITUTE(_xlpm.x, "x", "*", LEN(_xlpm.x) - LEN(SUBSTITUTE(_xlpm.x, "x", "")))))))</f>
        <v>0.28000000000000003</v>
      </c>
      <c r="AH8" s="47">
        <v>0.3</v>
      </c>
    </row>
    <row r="9" spans="1:34" x14ac:dyDescent="0.3">
      <c r="A9" s="27" t="s">
        <v>116</v>
      </c>
      <c r="B9" s="28">
        <v>14</v>
      </c>
      <c r="C9" s="14" t="s">
        <v>32</v>
      </c>
      <c r="D9" s="14" t="s">
        <v>33</v>
      </c>
      <c r="E9" s="7" t="s">
        <v>117</v>
      </c>
      <c r="F9" s="7" t="s">
        <v>118</v>
      </c>
      <c r="G9" s="29"/>
      <c r="H9" s="7" t="s">
        <v>36</v>
      </c>
      <c r="I9" s="7" t="s">
        <v>119</v>
      </c>
      <c r="J9" s="7" t="s">
        <v>120</v>
      </c>
      <c r="K9" s="7" t="s">
        <v>121</v>
      </c>
      <c r="L9" s="14" t="s">
        <v>122</v>
      </c>
      <c r="M9" s="30">
        <v>0</v>
      </c>
      <c r="N9" s="30" t="s">
        <v>41</v>
      </c>
      <c r="O9" s="14" t="s">
        <v>123</v>
      </c>
      <c r="P9" s="7" t="s">
        <v>43</v>
      </c>
      <c r="Q9" s="7" t="s">
        <v>124</v>
      </c>
      <c r="R9" s="31">
        <v>2.3420000000000001</v>
      </c>
      <c r="S9" s="38" t="s">
        <v>125</v>
      </c>
      <c r="T9" s="14"/>
      <c r="U9" s="14" t="s">
        <v>126</v>
      </c>
      <c r="V9" s="33">
        <v>1</v>
      </c>
      <c r="W9" s="33" t="s">
        <v>310</v>
      </c>
      <c r="X9" s="66">
        <v>-90</v>
      </c>
      <c r="Y9" s="7" t="s">
        <v>127</v>
      </c>
      <c r="Z9" s="7"/>
      <c r="AA9" s="7"/>
      <c r="AB9" s="7" t="s">
        <v>128</v>
      </c>
      <c r="AC9" s="7" t="s">
        <v>129</v>
      </c>
      <c r="AD9" s="34"/>
      <c r="AE9" s="34">
        <v>1</v>
      </c>
      <c r="AF9" t="str">
        <f>LEFT(W9,FIND("x",W9)-1)</f>
        <v>12</v>
      </c>
      <c r="AG9" s="45">
        <f>VALUE(_xlfn.LET(_xlpm.x, W9, RIGHT(_xlpm.x, LEN(_xlpm.x) - FIND("*", SUBSTITUTE(_xlpm.x, "x", "*", LEN(_xlpm.x) - LEN(SUBSTITUTE(_xlpm.x, "x", "")))))))</f>
        <v>0.31</v>
      </c>
      <c r="AH9" s="65">
        <v>0.3</v>
      </c>
    </row>
    <row r="10" spans="1:34" x14ac:dyDescent="0.3">
      <c r="A10" s="18" t="s">
        <v>130</v>
      </c>
      <c r="B10" s="26">
        <v>7</v>
      </c>
      <c r="C10" s="11" t="s">
        <v>32</v>
      </c>
      <c r="D10" s="3" t="s">
        <v>33</v>
      </c>
      <c r="E10" s="3" t="s">
        <v>117</v>
      </c>
      <c r="F10" s="3" t="s">
        <v>131</v>
      </c>
      <c r="G10" s="3"/>
      <c r="H10" s="3" t="s">
        <v>36</v>
      </c>
      <c r="I10" s="3" t="s">
        <v>132</v>
      </c>
      <c r="J10" s="3" t="s">
        <v>133</v>
      </c>
      <c r="K10" s="3" t="s">
        <v>121</v>
      </c>
      <c r="L10" s="11" t="s">
        <v>134</v>
      </c>
      <c r="M10" s="3">
        <v>2</v>
      </c>
      <c r="N10" s="3" t="s">
        <v>41</v>
      </c>
      <c r="O10" s="11" t="s">
        <v>135</v>
      </c>
      <c r="P10" s="3" t="s">
        <v>43</v>
      </c>
      <c r="Q10" s="3" t="s">
        <v>136</v>
      </c>
      <c r="R10" s="23">
        <v>0.86</v>
      </c>
      <c r="S10" s="3" t="s">
        <v>137</v>
      </c>
      <c r="T10" s="11"/>
      <c r="U10" s="11" t="s">
        <v>138</v>
      </c>
      <c r="V10" s="25">
        <v>1.2</v>
      </c>
      <c r="W10" s="25" t="s">
        <v>139</v>
      </c>
      <c r="X10" s="67">
        <v>90</v>
      </c>
      <c r="Y10" s="3" t="s">
        <v>140</v>
      </c>
      <c r="Z10" s="3" t="s">
        <v>141</v>
      </c>
      <c r="AA10" s="3"/>
      <c r="AB10" s="3" t="s">
        <v>142</v>
      </c>
      <c r="AC10" s="3" t="s">
        <v>143</v>
      </c>
      <c r="AD10" s="26">
        <v>1</v>
      </c>
      <c r="AE10" s="26">
        <v>1</v>
      </c>
      <c r="AF10" t="str">
        <f>LEFT(W10,FIND("x",W10)-1)</f>
        <v>8</v>
      </c>
      <c r="AG10" s="45">
        <f>VALUE(_xlfn.LET(_xlpm.x, W10, RIGHT(_xlpm.x, LEN(_xlpm.x) - FIND("*", SUBSTITUTE(_xlpm.x, "x", "*", LEN(_xlpm.x) - LEN(SUBSTITUTE(_xlpm.x, "x", "")))))))</f>
        <v>0.33</v>
      </c>
      <c r="AH10" s="47">
        <v>0.3</v>
      </c>
    </row>
    <row r="11" spans="1:34" x14ac:dyDescent="0.3">
      <c r="A11" s="27" t="s">
        <v>144</v>
      </c>
      <c r="B11" s="28">
        <v>7</v>
      </c>
      <c r="C11" s="14" t="s">
        <v>32</v>
      </c>
      <c r="D11" s="14" t="s">
        <v>33</v>
      </c>
      <c r="E11" s="7" t="s">
        <v>145</v>
      </c>
      <c r="F11" s="7" t="s">
        <v>146</v>
      </c>
      <c r="G11" s="29">
        <v>1.5E-5</v>
      </c>
      <c r="H11" s="7" t="s">
        <v>36</v>
      </c>
      <c r="I11" s="7" t="s">
        <v>147</v>
      </c>
      <c r="J11" s="7" t="s">
        <v>148</v>
      </c>
      <c r="K11" s="7" t="s">
        <v>149</v>
      </c>
      <c r="L11" s="14" t="s">
        <v>150</v>
      </c>
      <c r="M11" s="30">
        <v>2</v>
      </c>
      <c r="N11" s="30" t="s">
        <v>41</v>
      </c>
      <c r="O11" s="14" t="s">
        <v>151</v>
      </c>
      <c r="P11" s="7" t="s">
        <v>43</v>
      </c>
      <c r="Q11" s="7" t="s">
        <v>152</v>
      </c>
      <c r="R11" s="31">
        <v>1.0900000000000001</v>
      </c>
      <c r="S11" s="7" t="s">
        <v>153</v>
      </c>
      <c r="T11" s="32">
        <v>0.2</v>
      </c>
      <c r="U11" s="32" t="s">
        <v>154</v>
      </c>
      <c r="V11" s="33">
        <v>2</v>
      </c>
      <c r="W11" s="33" t="s">
        <v>308</v>
      </c>
      <c r="X11" s="66">
        <v>-90</v>
      </c>
      <c r="Y11" s="7" t="s">
        <v>155</v>
      </c>
      <c r="Z11" s="7" t="s">
        <v>156</v>
      </c>
      <c r="AA11" s="7"/>
      <c r="AB11" s="7" t="s">
        <v>157</v>
      </c>
      <c r="AC11" s="7" t="s">
        <v>158</v>
      </c>
      <c r="AD11" s="34">
        <v>1</v>
      </c>
      <c r="AE11" s="34">
        <v>1</v>
      </c>
      <c r="AF11" t="str">
        <f>LEFT(W11,FIND("x",W11)-1)</f>
        <v>8</v>
      </c>
      <c r="AG11" s="45">
        <f>VALUE(_xlfn.LET(_xlpm.x, W11, RIGHT(_xlpm.x, LEN(_xlpm.x) - FIND("*", SUBSTITUTE(_xlpm.x, "x", "*", LEN(_xlpm.x) - LEN(SUBSTITUTE(_xlpm.x, "x", "")))))))</f>
        <v>0.32</v>
      </c>
      <c r="AH11" s="64">
        <v>0.3</v>
      </c>
    </row>
    <row r="12" spans="1:34" x14ac:dyDescent="0.3">
      <c r="A12" s="18" t="s">
        <v>159</v>
      </c>
      <c r="B12" s="19">
        <v>20</v>
      </c>
      <c r="C12" s="11" t="s">
        <v>32</v>
      </c>
      <c r="D12" s="11" t="s">
        <v>33</v>
      </c>
      <c r="E12" s="3" t="s">
        <v>160</v>
      </c>
      <c r="F12" s="3" t="s">
        <v>161</v>
      </c>
      <c r="G12" s="20">
        <v>600</v>
      </c>
      <c r="H12" s="3" t="s">
        <v>36</v>
      </c>
      <c r="I12" s="3" t="s">
        <v>162</v>
      </c>
      <c r="J12" s="3" t="s">
        <v>163</v>
      </c>
      <c r="K12" s="3" t="s">
        <v>39</v>
      </c>
      <c r="L12" s="11" t="s">
        <v>164</v>
      </c>
      <c r="M12" s="22">
        <v>1</v>
      </c>
      <c r="N12" s="22" t="s">
        <v>41</v>
      </c>
      <c r="O12" s="11" t="s">
        <v>165</v>
      </c>
      <c r="P12" s="3"/>
      <c r="Q12" s="3"/>
      <c r="R12" s="23">
        <v>6.2E-2</v>
      </c>
      <c r="S12" s="3" t="s">
        <v>166</v>
      </c>
      <c r="T12" s="12"/>
      <c r="U12" s="12" t="s">
        <v>60</v>
      </c>
      <c r="V12" s="13">
        <v>0.8</v>
      </c>
      <c r="W12" s="13" t="s">
        <v>167</v>
      </c>
      <c r="X12" s="69">
        <v>-90</v>
      </c>
      <c r="Y12" s="3" t="s">
        <v>168</v>
      </c>
      <c r="Z12" s="3" t="s">
        <v>169</v>
      </c>
      <c r="AA12" s="39"/>
      <c r="AB12" s="3" t="s">
        <v>170</v>
      </c>
      <c r="AC12" s="3" t="s">
        <v>171</v>
      </c>
      <c r="AD12" s="26">
        <v>1</v>
      </c>
      <c r="AE12" s="26">
        <v>1</v>
      </c>
      <c r="AF12" t="str">
        <f>LEFT(W12,FIND("x",W12)-1)</f>
        <v>8</v>
      </c>
      <c r="AG12" s="45">
        <f>VALUE(_xlfn.LET(_xlpm.x, W12, RIGHT(_xlpm.x, LEN(_xlpm.x) - FIND("*", SUBSTITUTE(_xlpm.x, "x", "*", LEN(_xlpm.x) - LEN(SUBSTITUTE(_xlpm.x, "x", "")))))))</f>
        <v>1.02</v>
      </c>
      <c r="AH12" s="48">
        <v>1</v>
      </c>
    </row>
    <row r="13" spans="1:34" x14ac:dyDescent="0.3">
      <c r="A13" s="27" t="s">
        <v>172</v>
      </c>
      <c r="B13" s="28">
        <v>7</v>
      </c>
      <c r="C13" s="14" t="s">
        <v>32</v>
      </c>
      <c r="D13" s="14" t="s">
        <v>33</v>
      </c>
      <c r="E13" s="7" t="s">
        <v>173</v>
      </c>
      <c r="F13" s="14" t="s">
        <v>174</v>
      </c>
      <c r="G13" s="29">
        <v>525</v>
      </c>
      <c r="H13" s="7" t="s">
        <v>36</v>
      </c>
      <c r="I13" s="7" t="s">
        <v>175</v>
      </c>
      <c r="J13" s="7" t="s">
        <v>176</v>
      </c>
      <c r="K13" s="7" t="s">
        <v>177</v>
      </c>
      <c r="L13" s="14" t="s">
        <v>178</v>
      </c>
      <c r="M13" s="30">
        <v>2</v>
      </c>
      <c r="N13" s="30" t="s">
        <v>41</v>
      </c>
      <c r="O13" s="14" t="s">
        <v>179</v>
      </c>
      <c r="P13" s="7" t="s">
        <v>43</v>
      </c>
      <c r="Q13" s="7" t="s">
        <v>180</v>
      </c>
      <c r="R13" s="31">
        <v>1.01</v>
      </c>
      <c r="S13" s="7" t="s">
        <v>181</v>
      </c>
      <c r="T13" s="14"/>
      <c r="U13" s="70" t="s">
        <v>182</v>
      </c>
      <c r="V13" s="33">
        <v>0.85</v>
      </c>
      <c r="W13" s="33" t="s">
        <v>312</v>
      </c>
      <c r="X13" s="66">
        <v>90</v>
      </c>
      <c r="Y13" s="7"/>
      <c r="Z13" s="7" t="s">
        <v>183</v>
      </c>
      <c r="AA13" s="7"/>
      <c r="AB13" s="7" t="s">
        <v>184</v>
      </c>
      <c r="AC13" s="7" t="s">
        <v>185</v>
      </c>
      <c r="AD13" s="34"/>
      <c r="AE13" s="34">
        <v>1</v>
      </c>
      <c r="AF13" t="str">
        <f>LEFT(W13,FIND("x",W13)-1)</f>
        <v>8</v>
      </c>
      <c r="AG13" s="45">
        <f>VALUE(_xlfn.LET(_xlpm.x, W13, RIGHT(_xlpm.x, LEN(_xlpm.x) - FIND("*", SUBSTITUTE(_xlpm.x, "x", "*", LEN(_xlpm.x) - LEN(SUBSTITUTE(_xlpm.x, "x", "")))))))</f>
        <v>0.22</v>
      </c>
      <c r="AH13" s="47">
        <v>0.2</v>
      </c>
    </row>
    <row r="14" spans="1:34" x14ac:dyDescent="0.3">
      <c r="A14" s="18" t="s">
        <v>186</v>
      </c>
      <c r="B14" s="19">
        <v>7</v>
      </c>
      <c r="C14" s="11" t="s">
        <v>32</v>
      </c>
      <c r="D14" s="11" t="s">
        <v>33</v>
      </c>
      <c r="E14" s="3" t="s">
        <v>173</v>
      </c>
      <c r="F14" s="11" t="s">
        <v>187</v>
      </c>
      <c r="G14" s="20">
        <v>620</v>
      </c>
      <c r="H14" s="3" t="s">
        <v>36</v>
      </c>
      <c r="I14" s="3" t="s">
        <v>175</v>
      </c>
      <c r="J14" s="3" t="s">
        <v>176</v>
      </c>
      <c r="K14" s="3" t="s">
        <v>177</v>
      </c>
      <c r="L14" s="11" t="s">
        <v>188</v>
      </c>
      <c r="M14" s="22">
        <v>2</v>
      </c>
      <c r="N14" s="22" t="s">
        <v>41</v>
      </c>
      <c r="O14" s="11" t="s">
        <v>189</v>
      </c>
      <c r="P14" s="3" t="s">
        <v>43</v>
      </c>
      <c r="Q14" s="3" t="s">
        <v>190</v>
      </c>
      <c r="R14" s="23">
        <v>1.04</v>
      </c>
      <c r="S14" s="3" t="s">
        <v>181</v>
      </c>
      <c r="T14" s="11"/>
      <c r="U14" s="40" t="s">
        <v>182</v>
      </c>
      <c r="V14" s="25">
        <v>0.85</v>
      </c>
      <c r="W14" s="25" t="s">
        <v>312</v>
      </c>
      <c r="X14" s="66">
        <v>90</v>
      </c>
      <c r="Y14" s="3"/>
      <c r="Z14" s="3" t="s">
        <v>191</v>
      </c>
      <c r="AA14" s="3"/>
      <c r="AB14" s="3" t="s">
        <v>184</v>
      </c>
      <c r="AC14" s="3" t="s">
        <v>185</v>
      </c>
      <c r="AD14" s="26"/>
      <c r="AE14" s="26">
        <v>1</v>
      </c>
      <c r="AF14" t="str">
        <f>LEFT(W14,FIND("x",W14)-1)</f>
        <v>8</v>
      </c>
      <c r="AG14" s="45">
        <f>VALUE(_xlfn.LET(_xlpm.x, W14, RIGHT(_xlpm.x, LEN(_xlpm.x) - FIND("*", SUBSTITUTE(_xlpm.x, "x", "*", LEN(_xlpm.x) - LEN(SUBSTITUTE(_xlpm.x, "x", "")))))))</f>
        <v>0.22</v>
      </c>
      <c r="AH14" s="47">
        <v>0.2</v>
      </c>
    </row>
    <row r="15" spans="1:34" x14ac:dyDescent="0.3">
      <c r="A15" s="27" t="s">
        <v>192</v>
      </c>
      <c r="B15" s="28">
        <v>7</v>
      </c>
      <c r="C15" s="14" t="s">
        <v>32</v>
      </c>
      <c r="D15" s="14" t="s">
        <v>33</v>
      </c>
      <c r="E15" s="7" t="s">
        <v>173</v>
      </c>
      <c r="F15" s="14" t="s">
        <v>193</v>
      </c>
      <c r="G15" s="29">
        <v>4090</v>
      </c>
      <c r="H15" s="7" t="s">
        <v>36</v>
      </c>
      <c r="I15" s="7" t="s">
        <v>175</v>
      </c>
      <c r="J15" s="7" t="s">
        <v>176</v>
      </c>
      <c r="K15" s="7" t="s">
        <v>177</v>
      </c>
      <c r="L15" s="14" t="s">
        <v>194</v>
      </c>
      <c r="M15" s="30">
        <v>1</v>
      </c>
      <c r="N15" s="30" t="s">
        <v>41</v>
      </c>
      <c r="O15" s="14" t="s">
        <v>195</v>
      </c>
      <c r="P15" s="7" t="s">
        <v>43</v>
      </c>
      <c r="Q15" s="7" t="s">
        <v>196</v>
      </c>
      <c r="R15" s="31">
        <v>1.0129999999999999</v>
      </c>
      <c r="S15" s="7" t="s">
        <v>181</v>
      </c>
      <c r="T15" s="14"/>
      <c r="U15" s="70" t="s">
        <v>182</v>
      </c>
      <c r="V15" s="33">
        <v>0.85</v>
      </c>
      <c r="W15" s="33" t="s">
        <v>312</v>
      </c>
      <c r="X15" s="66">
        <v>90</v>
      </c>
      <c r="Y15" s="7"/>
      <c r="Z15" s="7" t="s">
        <v>197</v>
      </c>
      <c r="AA15" s="7"/>
      <c r="AB15" s="7" t="s">
        <v>184</v>
      </c>
      <c r="AC15" s="7" t="s">
        <v>185</v>
      </c>
      <c r="AD15" s="34"/>
      <c r="AE15" s="34">
        <v>1</v>
      </c>
      <c r="AF15" t="str">
        <f>LEFT(W15,FIND("x",W15)-1)</f>
        <v>8</v>
      </c>
      <c r="AG15" s="45">
        <f>VALUE(_xlfn.LET(_xlpm.x, W15, RIGHT(_xlpm.x, LEN(_xlpm.x) - FIND("*", SUBSTITUTE(_xlpm.x, "x", "*", LEN(_xlpm.x) - LEN(SUBSTITUTE(_xlpm.x, "x", "")))))))</f>
        <v>0.22</v>
      </c>
      <c r="AH15" s="47">
        <v>0.2</v>
      </c>
    </row>
    <row r="16" spans="1:34" x14ac:dyDescent="0.3">
      <c r="A16" s="52" t="s">
        <v>198</v>
      </c>
      <c r="B16" s="53">
        <v>9</v>
      </c>
      <c r="C16" s="54" t="s">
        <v>32</v>
      </c>
      <c r="D16" s="54" t="s">
        <v>33</v>
      </c>
      <c r="E16" s="55" t="s">
        <v>173</v>
      </c>
      <c r="F16" s="54" t="s">
        <v>199</v>
      </c>
      <c r="G16" s="56">
        <v>735</v>
      </c>
      <c r="H16" s="55" t="s">
        <v>36</v>
      </c>
      <c r="I16" s="55" t="s">
        <v>200</v>
      </c>
      <c r="J16" s="55" t="s">
        <v>201</v>
      </c>
      <c r="K16" s="55" t="s">
        <v>202</v>
      </c>
      <c r="L16" s="54" t="s">
        <v>203</v>
      </c>
      <c r="M16" s="57">
        <v>2</v>
      </c>
      <c r="N16" s="57" t="s">
        <v>41</v>
      </c>
      <c r="O16" s="54" t="s">
        <v>204</v>
      </c>
      <c r="P16" s="55" t="s">
        <v>43</v>
      </c>
      <c r="Q16" s="55" t="s">
        <v>205</v>
      </c>
      <c r="R16" s="58">
        <v>2.42</v>
      </c>
      <c r="S16" s="55" t="s">
        <v>181</v>
      </c>
      <c r="T16" s="54"/>
      <c r="U16" s="54" t="s">
        <v>206</v>
      </c>
      <c r="V16" s="59">
        <v>1.35</v>
      </c>
      <c r="W16" s="59" t="s">
        <v>207</v>
      </c>
      <c r="X16" s="68">
        <v>180</v>
      </c>
      <c r="Y16" s="55"/>
      <c r="Z16" s="55" t="s">
        <v>208</v>
      </c>
      <c r="AA16" s="55" t="s">
        <v>209</v>
      </c>
      <c r="AB16" s="55" t="s">
        <v>210</v>
      </c>
      <c r="AC16" s="55" t="s">
        <v>211</v>
      </c>
      <c r="AD16" s="60"/>
      <c r="AE16" s="60">
        <v>1</v>
      </c>
      <c r="AF16" s="61" t="str">
        <f>LEFT(W16,FIND("x",W16)-1)</f>
        <v>8</v>
      </c>
      <c r="AG16" s="62">
        <f>VALUE(_xlfn.LET(_xlpm.x, W16, RIGHT(_xlpm.x, LEN(_xlpm.x) - FIND("*", SUBSTITUTE(_xlpm.x, "x", "*", LEN(_xlpm.x) - LEN(SUBSTITUTE(_xlpm.x, "x", "")))))))</f>
        <v>0.31</v>
      </c>
      <c r="AH16" s="63">
        <v>0.3</v>
      </c>
    </row>
    <row r="17" spans="1:35" x14ac:dyDescent="0.3">
      <c r="A17" s="27" t="s">
        <v>212</v>
      </c>
      <c r="B17" s="28">
        <v>7</v>
      </c>
      <c r="C17" s="14" t="s">
        <v>32</v>
      </c>
      <c r="D17" s="14" t="s">
        <v>33</v>
      </c>
      <c r="E17" s="7" t="s">
        <v>173</v>
      </c>
      <c r="F17" s="14" t="s">
        <v>213</v>
      </c>
      <c r="G17" s="29">
        <v>590</v>
      </c>
      <c r="H17" s="7" t="s">
        <v>36</v>
      </c>
      <c r="I17" s="7" t="s">
        <v>175</v>
      </c>
      <c r="J17" s="7" t="s">
        <v>176</v>
      </c>
      <c r="K17" s="7" t="s">
        <v>177</v>
      </c>
      <c r="L17" s="14" t="s">
        <v>214</v>
      </c>
      <c r="M17" s="30">
        <v>2</v>
      </c>
      <c r="N17" s="30" t="s">
        <v>41</v>
      </c>
      <c r="O17" s="14" t="s">
        <v>215</v>
      </c>
      <c r="P17" s="7" t="s">
        <v>43</v>
      </c>
      <c r="Q17" s="7" t="s">
        <v>216</v>
      </c>
      <c r="R17" s="31">
        <v>0.748</v>
      </c>
      <c r="S17" s="7" t="s">
        <v>181</v>
      </c>
      <c r="T17" s="14"/>
      <c r="U17" s="70" t="s">
        <v>182</v>
      </c>
      <c r="V17" s="33">
        <v>0.85</v>
      </c>
      <c r="W17" s="33" t="s">
        <v>312</v>
      </c>
      <c r="X17" s="66">
        <v>90</v>
      </c>
      <c r="Y17" s="7"/>
      <c r="Z17" s="7" t="s">
        <v>217</v>
      </c>
      <c r="AA17" s="7"/>
      <c r="AB17" s="7" t="s">
        <v>184</v>
      </c>
      <c r="AC17" s="7" t="s">
        <v>185</v>
      </c>
      <c r="AD17" s="34"/>
      <c r="AE17" s="34">
        <v>1</v>
      </c>
      <c r="AF17" t="str">
        <f>LEFT(W17,FIND("x",W17)-1)</f>
        <v>8</v>
      </c>
      <c r="AG17" s="45">
        <f>VALUE(_xlfn.LET(_xlpm.x, W17, RIGHT(_xlpm.x, LEN(_xlpm.x) - FIND("*", SUBSTITUTE(_xlpm.x, "x", "*", LEN(_xlpm.x) - LEN(SUBSTITUTE(_xlpm.x, "x", "")))))))</f>
        <v>0.22</v>
      </c>
      <c r="AH17" s="47">
        <v>0.2</v>
      </c>
    </row>
    <row r="18" spans="1:35" x14ac:dyDescent="0.3">
      <c r="A18" s="18" t="s">
        <v>218</v>
      </c>
      <c r="B18" s="19">
        <v>7</v>
      </c>
      <c r="C18" s="11" t="s">
        <v>32</v>
      </c>
      <c r="D18" s="11" t="s">
        <v>33</v>
      </c>
      <c r="E18" s="3" t="s">
        <v>173</v>
      </c>
      <c r="F18" s="11" t="s">
        <v>219</v>
      </c>
      <c r="G18" s="20">
        <v>460</v>
      </c>
      <c r="H18" s="3" t="s">
        <v>36</v>
      </c>
      <c r="I18" s="3" t="s">
        <v>175</v>
      </c>
      <c r="J18" s="3" t="s">
        <v>176</v>
      </c>
      <c r="K18" s="3" t="s">
        <v>177</v>
      </c>
      <c r="L18" s="11" t="s">
        <v>220</v>
      </c>
      <c r="M18" s="22">
        <v>2</v>
      </c>
      <c r="N18" s="22" t="s">
        <v>41</v>
      </c>
      <c r="O18" s="11" t="s">
        <v>221</v>
      </c>
      <c r="P18" s="3" t="s">
        <v>43</v>
      </c>
      <c r="Q18" s="3" t="s">
        <v>222</v>
      </c>
      <c r="R18" s="23">
        <v>1.024</v>
      </c>
      <c r="S18" s="3" t="s">
        <v>181</v>
      </c>
      <c r="T18" s="11"/>
      <c r="U18" s="40" t="s">
        <v>182</v>
      </c>
      <c r="V18" s="25">
        <v>0.85</v>
      </c>
      <c r="W18" s="25" t="s">
        <v>312</v>
      </c>
      <c r="X18" s="66">
        <v>90</v>
      </c>
      <c r="Y18" s="3"/>
      <c r="Z18" s="3" t="s">
        <v>223</v>
      </c>
      <c r="AA18" s="3"/>
      <c r="AB18" s="3" t="s">
        <v>184</v>
      </c>
      <c r="AC18" s="3" t="s">
        <v>185</v>
      </c>
      <c r="AD18" s="26"/>
      <c r="AE18" s="26">
        <v>1</v>
      </c>
      <c r="AF18" t="str">
        <f>LEFT(W18,FIND("x",W18)-1)</f>
        <v>8</v>
      </c>
      <c r="AG18" s="45">
        <f>VALUE(_xlfn.LET(_xlpm.x, W18, RIGHT(_xlpm.x, LEN(_xlpm.x) - FIND("*", SUBSTITUTE(_xlpm.x, "x", "*", LEN(_xlpm.x) - LEN(SUBSTITUTE(_xlpm.x, "x", "")))))))</f>
        <v>0.22</v>
      </c>
      <c r="AH18" s="47">
        <v>0.2</v>
      </c>
    </row>
    <row r="19" spans="1:35" x14ac:dyDescent="0.3">
      <c r="A19" s="27" t="s">
        <v>224</v>
      </c>
      <c r="B19" s="28">
        <v>10</v>
      </c>
      <c r="C19" s="14" t="s">
        <v>32</v>
      </c>
      <c r="D19" s="14" t="s">
        <v>33</v>
      </c>
      <c r="E19" s="7" t="s">
        <v>173</v>
      </c>
      <c r="F19" s="14" t="s">
        <v>225</v>
      </c>
      <c r="G19" s="29">
        <v>410</v>
      </c>
      <c r="H19" s="7" t="s">
        <v>36</v>
      </c>
      <c r="I19" s="7" t="s">
        <v>226</v>
      </c>
      <c r="J19" s="7" t="s">
        <v>227</v>
      </c>
      <c r="K19" s="7" t="s">
        <v>228</v>
      </c>
      <c r="L19" s="14" t="s">
        <v>229</v>
      </c>
      <c r="M19" s="30">
        <v>0</v>
      </c>
      <c r="N19" s="30" t="s">
        <v>41</v>
      </c>
      <c r="O19" s="14" t="s">
        <v>230</v>
      </c>
      <c r="P19" s="7" t="s">
        <v>43</v>
      </c>
      <c r="Q19" s="7" t="s">
        <v>231</v>
      </c>
      <c r="R19" s="31">
        <v>3.819</v>
      </c>
      <c r="S19" s="7" t="s">
        <v>232</v>
      </c>
      <c r="T19" s="14"/>
      <c r="U19" s="14" t="s">
        <v>233</v>
      </c>
      <c r="V19" s="33">
        <v>1</v>
      </c>
      <c r="W19" s="33" t="s">
        <v>234</v>
      </c>
      <c r="X19" s="66">
        <v>0</v>
      </c>
      <c r="Y19" s="7"/>
      <c r="Z19" s="7" t="s">
        <v>235</v>
      </c>
      <c r="AA19" s="7"/>
      <c r="AB19" s="7" t="s">
        <v>236</v>
      </c>
      <c r="AC19" s="7" t="s">
        <v>237</v>
      </c>
      <c r="AD19" s="34"/>
      <c r="AE19" s="34">
        <v>1</v>
      </c>
      <c r="AF19" t="str">
        <f>LEFT(W19,FIND("x",W19)-1)</f>
        <v>8</v>
      </c>
      <c r="AG19" s="45">
        <f>VALUE(_xlfn.LET(_xlpm.x, W19, RIGHT(_xlpm.x, LEN(_xlpm.x) - FIND("*", SUBSTITUTE(_xlpm.x, "x", "*", LEN(_xlpm.x) - LEN(SUBSTITUTE(_xlpm.x, "x", "")))))))</f>
        <v>0.3</v>
      </c>
      <c r="AH19" s="47">
        <v>0.3</v>
      </c>
    </row>
    <row r="20" spans="1:35" x14ac:dyDescent="0.3">
      <c r="A20" s="18" t="s">
        <v>238</v>
      </c>
      <c r="B20" s="19">
        <v>10</v>
      </c>
      <c r="C20" s="11" t="s">
        <v>32</v>
      </c>
      <c r="D20" s="11" t="s">
        <v>33</v>
      </c>
      <c r="E20" s="3" t="s">
        <v>173</v>
      </c>
      <c r="F20" s="11" t="s">
        <v>239</v>
      </c>
      <c r="G20" s="20">
        <v>660</v>
      </c>
      <c r="H20" s="3" t="s">
        <v>36</v>
      </c>
      <c r="I20" s="3" t="s">
        <v>226</v>
      </c>
      <c r="J20" s="3" t="s">
        <v>227</v>
      </c>
      <c r="K20" s="3" t="s">
        <v>228</v>
      </c>
      <c r="L20" s="11" t="s">
        <v>240</v>
      </c>
      <c r="M20" s="22">
        <v>0</v>
      </c>
      <c r="N20" s="22" t="s">
        <v>41</v>
      </c>
      <c r="O20" s="11" t="s">
        <v>241</v>
      </c>
      <c r="P20" s="3" t="s">
        <v>43</v>
      </c>
      <c r="Q20" s="3" t="s">
        <v>242</v>
      </c>
      <c r="R20" s="23">
        <v>2.73</v>
      </c>
      <c r="S20" s="3" t="s">
        <v>232</v>
      </c>
      <c r="T20" s="11"/>
      <c r="U20" s="11" t="s">
        <v>233</v>
      </c>
      <c r="V20" s="25">
        <v>1</v>
      </c>
      <c r="W20" s="25" t="s">
        <v>234</v>
      </c>
      <c r="X20" s="67">
        <v>0</v>
      </c>
      <c r="Y20" s="3"/>
      <c r="Z20" s="3" t="s">
        <v>243</v>
      </c>
      <c r="AA20" s="3"/>
      <c r="AB20" s="3" t="s">
        <v>236</v>
      </c>
      <c r="AC20" s="3" t="s">
        <v>237</v>
      </c>
      <c r="AD20" s="26"/>
      <c r="AE20" s="26">
        <v>1</v>
      </c>
      <c r="AF20" t="str">
        <f>LEFT(W20,FIND("x",W20)-1)</f>
        <v>8</v>
      </c>
      <c r="AG20" s="45">
        <f>VALUE(_xlfn.LET(_xlpm.x, W20, RIGHT(_xlpm.x, LEN(_xlpm.x) - FIND("*", SUBSTITUTE(_xlpm.x, "x", "*", LEN(_xlpm.x) - LEN(SUBSTITUTE(_xlpm.x, "x", "")))))))</f>
        <v>0.3</v>
      </c>
      <c r="AH20" s="47">
        <v>0.3</v>
      </c>
    </row>
    <row r="21" spans="1:35" x14ac:dyDescent="0.3">
      <c r="A21" s="27" t="s">
        <v>244</v>
      </c>
      <c r="B21" s="28">
        <v>10</v>
      </c>
      <c r="C21" s="14" t="s">
        <v>32</v>
      </c>
      <c r="D21" s="14" t="s">
        <v>33</v>
      </c>
      <c r="E21" s="7" t="s">
        <v>173</v>
      </c>
      <c r="F21" s="14" t="s">
        <v>245</v>
      </c>
      <c r="G21" s="29">
        <v>500</v>
      </c>
      <c r="H21" s="7" t="s">
        <v>36</v>
      </c>
      <c r="I21" s="7" t="s">
        <v>226</v>
      </c>
      <c r="J21" s="7" t="s">
        <v>227</v>
      </c>
      <c r="K21" s="7" t="s">
        <v>228</v>
      </c>
      <c r="L21" s="14" t="s">
        <v>246</v>
      </c>
      <c r="M21" s="30">
        <v>2</v>
      </c>
      <c r="N21" s="30" t="s">
        <v>41</v>
      </c>
      <c r="O21" s="14" t="s">
        <v>247</v>
      </c>
      <c r="P21" s="7" t="s">
        <v>43</v>
      </c>
      <c r="Q21" s="7" t="s">
        <v>248</v>
      </c>
      <c r="R21" s="31">
        <v>3</v>
      </c>
      <c r="S21" s="7" t="s">
        <v>232</v>
      </c>
      <c r="T21" s="14"/>
      <c r="U21" s="14" t="s">
        <v>233</v>
      </c>
      <c r="V21" s="33">
        <v>1</v>
      </c>
      <c r="W21" s="33" t="s">
        <v>234</v>
      </c>
      <c r="X21" s="66">
        <v>0</v>
      </c>
      <c r="Y21" s="7"/>
      <c r="Z21" s="7" t="s">
        <v>249</v>
      </c>
      <c r="AA21" s="7"/>
      <c r="AB21" s="7" t="s">
        <v>236</v>
      </c>
      <c r="AC21" s="7" t="s">
        <v>237</v>
      </c>
      <c r="AD21" s="34"/>
      <c r="AE21" s="34">
        <v>1</v>
      </c>
      <c r="AF21" t="str">
        <f>LEFT(W21,FIND("x",W21)-1)</f>
        <v>8</v>
      </c>
      <c r="AG21" s="45">
        <f>VALUE(_xlfn.LET(_xlpm.x, W21, RIGHT(_xlpm.x, LEN(_xlpm.x) - FIND("*", SUBSTITUTE(_xlpm.x, "x", "*", LEN(_xlpm.x) - LEN(SUBSTITUTE(_xlpm.x, "x", "")))))))</f>
        <v>0.3</v>
      </c>
      <c r="AH21" s="47">
        <v>0.3</v>
      </c>
    </row>
    <row r="22" spans="1:35" x14ac:dyDescent="0.3">
      <c r="A22" s="18" t="s">
        <v>250</v>
      </c>
      <c r="B22" s="19">
        <v>15</v>
      </c>
      <c r="C22" s="11" t="s">
        <v>32</v>
      </c>
      <c r="D22" s="11" t="s">
        <v>33</v>
      </c>
      <c r="E22" s="3" t="s">
        <v>251</v>
      </c>
      <c r="F22" s="3" t="s">
        <v>252</v>
      </c>
      <c r="G22" s="20">
        <v>825</v>
      </c>
      <c r="H22" s="3" t="s">
        <v>36</v>
      </c>
      <c r="I22" s="3" t="s">
        <v>253</v>
      </c>
      <c r="J22" s="3" t="s">
        <v>254</v>
      </c>
      <c r="K22" s="3" t="s">
        <v>255</v>
      </c>
      <c r="L22" s="11" t="s">
        <v>256</v>
      </c>
      <c r="M22" s="22">
        <v>2</v>
      </c>
      <c r="N22" s="22" t="s">
        <v>41</v>
      </c>
      <c r="O22" s="11" t="s">
        <v>257</v>
      </c>
      <c r="P22" s="3" t="s">
        <v>43</v>
      </c>
      <c r="Q22" s="3" t="s">
        <v>258</v>
      </c>
      <c r="R22" s="23">
        <v>2.4E-2</v>
      </c>
      <c r="S22" s="3" t="s">
        <v>259</v>
      </c>
      <c r="T22" s="24">
        <v>0.01</v>
      </c>
      <c r="U22" s="24" t="s">
        <v>46</v>
      </c>
      <c r="V22" s="25">
        <v>0.35</v>
      </c>
      <c r="W22" s="25" t="s">
        <v>311</v>
      </c>
      <c r="X22" s="67">
        <v>-90</v>
      </c>
      <c r="Y22" s="3" t="s">
        <v>260</v>
      </c>
      <c r="Z22" s="39"/>
      <c r="AA22" s="3"/>
      <c r="AB22" s="3" t="s">
        <v>261</v>
      </c>
      <c r="AC22" s="3" t="s">
        <v>103</v>
      </c>
      <c r="AD22" s="26"/>
      <c r="AE22" s="26">
        <v>1</v>
      </c>
      <c r="AF22" t="str">
        <f>LEFT(W22,FIND("x",W22)-1)</f>
        <v>8</v>
      </c>
      <c r="AG22" s="45">
        <f>VALUE(_xlfn.LET(_xlpm.x, W22, RIGHT(_xlpm.x, LEN(_xlpm.x) - FIND("*", SUBSTITUTE(_xlpm.x, "x", "*", LEN(_xlpm.x) - LEN(SUBSTITUTE(_xlpm.x, "x", "")))))))</f>
        <v>0.42</v>
      </c>
      <c r="AH22" s="50">
        <v>0.4</v>
      </c>
    </row>
    <row r="23" spans="1:35" x14ac:dyDescent="0.3">
      <c r="A23" s="27" t="s">
        <v>262</v>
      </c>
      <c r="B23" s="28">
        <v>34</v>
      </c>
      <c r="C23" s="14" t="s">
        <v>32</v>
      </c>
      <c r="D23" s="14" t="s">
        <v>33</v>
      </c>
      <c r="E23" s="7" t="s">
        <v>251</v>
      </c>
      <c r="F23" s="7" t="s">
        <v>263</v>
      </c>
      <c r="G23" s="29">
        <v>100000</v>
      </c>
      <c r="H23" s="7" t="s">
        <v>36</v>
      </c>
      <c r="I23" s="7" t="s">
        <v>264</v>
      </c>
      <c r="J23" s="7" t="s">
        <v>254</v>
      </c>
      <c r="K23" s="7" t="s">
        <v>265</v>
      </c>
      <c r="L23" s="14" t="s">
        <v>266</v>
      </c>
      <c r="M23" s="30">
        <v>2</v>
      </c>
      <c r="N23" s="30" t="s">
        <v>41</v>
      </c>
      <c r="O23" s="14" t="s">
        <v>267</v>
      </c>
      <c r="P23" s="7" t="s">
        <v>43</v>
      </c>
      <c r="Q23" s="7" t="s">
        <v>268</v>
      </c>
      <c r="R23" s="31">
        <v>4.8000000000000001E-2</v>
      </c>
      <c r="S23" s="7" t="s">
        <v>269</v>
      </c>
      <c r="T23" s="41">
        <v>5.0000000000000001E-3</v>
      </c>
      <c r="U23" s="14" t="s">
        <v>60</v>
      </c>
      <c r="V23" s="33">
        <v>0.45</v>
      </c>
      <c r="W23" s="33" t="s">
        <v>313</v>
      </c>
      <c r="X23" s="66">
        <v>-90</v>
      </c>
      <c r="Y23" s="7" t="s">
        <v>260</v>
      </c>
      <c r="Z23" s="42"/>
      <c r="AA23" s="7"/>
      <c r="AB23" s="7" t="s">
        <v>261</v>
      </c>
      <c r="AC23" s="7" t="s">
        <v>171</v>
      </c>
      <c r="AD23" s="34">
        <v>1</v>
      </c>
      <c r="AE23" s="34">
        <v>1</v>
      </c>
      <c r="AF23" t="str">
        <f>LEFT(W23,FIND("x",W23)-1)</f>
        <v>8</v>
      </c>
      <c r="AG23" s="45">
        <f>VALUE(_xlfn.LET(_xlpm.x, W23, RIGHT(_xlpm.x, LEN(_xlpm.x) - FIND("*", SUBSTITUTE(_xlpm.x, "x", "*", LEN(_xlpm.x) - LEN(SUBSTITUTE(_xlpm.x, "x", "")))))))</f>
        <v>0.61</v>
      </c>
      <c r="AH23" s="49">
        <v>0.65</v>
      </c>
    </row>
    <row r="24" spans="1:35" x14ac:dyDescent="0.3">
      <c r="A24" s="18" t="s">
        <v>270</v>
      </c>
      <c r="B24" s="19">
        <v>35</v>
      </c>
      <c r="C24" s="11" t="s">
        <v>32</v>
      </c>
      <c r="D24" s="11" t="s">
        <v>33</v>
      </c>
      <c r="E24" s="3" t="s">
        <v>251</v>
      </c>
      <c r="F24" s="3" t="s">
        <v>271</v>
      </c>
      <c r="G24" s="20">
        <v>27</v>
      </c>
      <c r="H24" s="3" t="s">
        <v>36</v>
      </c>
      <c r="I24" s="3" t="s">
        <v>253</v>
      </c>
      <c r="J24" s="3" t="s">
        <v>254</v>
      </c>
      <c r="K24" s="3" t="s">
        <v>265</v>
      </c>
      <c r="L24" s="11" t="s">
        <v>272</v>
      </c>
      <c r="M24" s="22">
        <v>2</v>
      </c>
      <c r="N24" s="22" t="s">
        <v>41</v>
      </c>
      <c r="O24" s="11" t="s">
        <v>273</v>
      </c>
      <c r="P24" s="3" t="s">
        <v>43</v>
      </c>
      <c r="Q24" s="3" t="s">
        <v>274</v>
      </c>
      <c r="R24" s="23">
        <v>2.1000000000000001E-2</v>
      </c>
      <c r="S24" s="3" t="s">
        <v>259</v>
      </c>
      <c r="T24" s="24">
        <v>0.01</v>
      </c>
      <c r="U24" s="24" t="s">
        <v>46</v>
      </c>
      <c r="V24" s="25">
        <v>0.2</v>
      </c>
      <c r="W24" s="25" t="s">
        <v>311</v>
      </c>
      <c r="X24" s="67">
        <v>-90</v>
      </c>
      <c r="Y24" s="3" t="s">
        <v>275</v>
      </c>
      <c r="Z24" s="71"/>
      <c r="AA24" s="3"/>
      <c r="AB24" s="3" t="s">
        <v>261</v>
      </c>
      <c r="AC24" s="3" t="s">
        <v>103</v>
      </c>
      <c r="AD24" s="26"/>
      <c r="AE24" s="26">
        <v>2</v>
      </c>
      <c r="AF24" t="str">
        <f>LEFT(W24,FIND("x",W24)-1)</f>
        <v>8</v>
      </c>
      <c r="AG24" s="45">
        <f>VALUE(_xlfn.LET(_xlpm.x, W24, RIGHT(_xlpm.x, LEN(_xlpm.x) - FIND("*", SUBSTITUTE(_xlpm.x, "x", "*", LEN(_xlpm.x) - LEN(SUBSTITUTE(_xlpm.x, "x", "")))))))</f>
        <v>0.42</v>
      </c>
      <c r="AH24" s="65">
        <v>0.4</v>
      </c>
    </row>
    <row r="25" spans="1:35" x14ac:dyDescent="0.3">
      <c r="A25" s="27" t="s">
        <v>276</v>
      </c>
      <c r="B25" s="28">
        <v>45</v>
      </c>
      <c r="C25" s="14" t="s">
        <v>32</v>
      </c>
      <c r="D25" s="14" t="s">
        <v>33</v>
      </c>
      <c r="E25" s="7" t="s">
        <v>251</v>
      </c>
      <c r="F25" s="7" t="s">
        <v>277</v>
      </c>
      <c r="G25" s="29">
        <v>24900</v>
      </c>
      <c r="H25" s="7" t="s">
        <v>36</v>
      </c>
      <c r="I25" s="7" t="s">
        <v>264</v>
      </c>
      <c r="J25" s="7" t="s">
        <v>254</v>
      </c>
      <c r="K25" s="7" t="s">
        <v>255</v>
      </c>
      <c r="L25" s="14" t="s">
        <v>278</v>
      </c>
      <c r="M25" s="30">
        <v>0</v>
      </c>
      <c r="N25" s="30" t="s">
        <v>41</v>
      </c>
      <c r="O25" s="14" t="s">
        <v>279</v>
      </c>
      <c r="P25" s="7" t="s">
        <v>43</v>
      </c>
      <c r="Q25" s="7" t="s">
        <v>280</v>
      </c>
      <c r="R25" s="31">
        <v>2.5000000000000001E-2</v>
      </c>
      <c r="S25" s="7" t="s">
        <v>259</v>
      </c>
      <c r="T25" s="41">
        <v>5.0000000000000001E-3</v>
      </c>
      <c r="U25" s="41" t="s">
        <v>60</v>
      </c>
      <c r="V25" s="33">
        <v>0.4</v>
      </c>
      <c r="W25" s="33" t="s">
        <v>281</v>
      </c>
      <c r="X25" s="66">
        <v>-90</v>
      </c>
      <c r="Y25" s="7" t="s">
        <v>260</v>
      </c>
      <c r="Z25" s="43"/>
      <c r="AA25" s="7"/>
      <c r="AB25" s="7" t="s">
        <v>261</v>
      </c>
      <c r="AC25" s="7" t="s">
        <v>171</v>
      </c>
      <c r="AD25" s="34">
        <v>1</v>
      </c>
      <c r="AE25" s="34">
        <v>1</v>
      </c>
      <c r="AF25" t="str">
        <f>LEFT(W25,FIND("x",W25)-1)</f>
        <v>8</v>
      </c>
      <c r="AG25" s="45">
        <f>VALUE(_xlfn.LET(_xlpm.x, W25, RIGHT(_xlpm.x, LEN(_xlpm.x) - FIND("*", SUBSTITUTE(_xlpm.x, "x", "*", LEN(_xlpm.x) - LEN(SUBSTITUTE(_xlpm.x, "x", "")))))))</f>
        <v>0.65</v>
      </c>
      <c r="AH25" s="51">
        <v>0.65</v>
      </c>
    </row>
    <row r="26" spans="1:35" x14ac:dyDescent="0.3">
      <c r="A26" s="18" t="s">
        <v>282</v>
      </c>
      <c r="B26" s="19">
        <v>22</v>
      </c>
      <c r="C26" s="11" t="s">
        <v>32</v>
      </c>
      <c r="D26" s="11" t="s">
        <v>33</v>
      </c>
      <c r="E26" s="3" t="s">
        <v>251</v>
      </c>
      <c r="F26" s="3" t="s">
        <v>283</v>
      </c>
      <c r="G26" s="20">
        <v>10</v>
      </c>
      <c r="H26" s="3" t="s">
        <v>36</v>
      </c>
      <c r="I26" s="3" t="s">
        <v>264</v>
      </c>
      <c r="J26" s="3" t="s">
        <v>284</v>
      </c>
      <c r="K26" s="3" t="s">
        <v>285</v>
      </c>
      <c r="L26" s="11" t="s">
        <v>286</v>
      </c>
      <c r="M26" s="22">
        <v>0</v>
      </c>
      <c r="N26" s="22" t="s">
        <v>41</v>
      </c>
      <c r="O26" s="11" t="s">
        <v>287</v>
      </c>
      <c r="P26" s="3" t="s">
        <v>43</v>
      </c>
      <c r="Q26" s="3" t="s">
        <v>288</v>
      </c>
      <c r="R26" s="23">
        <v>1.6E-2</v>
      </c>
      <c r="S26" s="3" t="s">
        <v>289</v>
      </c>
      <c r="T26" s="24">
        <v>0.01</v>
      </c>
      <c r="U26" s="24" t="s">
        <v>60</v>
      </c>
      <c r="V26" s="25">
        <v>0.45</v>
      </c>
      <c r="W26" s="25" t="s">
        <v>290</v>
      </c>
      <c r="X26" s="67">
        <v>-90</v>
      </c>
      <c r="Y26" s="3" t="s">
        <v>291</v>
      </c>
      <c r="Z26" s="71"/>
      <c r="AA26" s="3"/>
      <c r="AB26" s="3" t="s">
        <v>261</v>
      </c>
      <c r="AC26" s="3" t="s">
        <v>171</v>
      </c>
      <c r="AD26" s="26"/>
      <c r="AE26" s="26">
        <v>1</v>
      </c>
      <c r="AF26" t="str">
        <f>LEFT(W26,FIND("x",W26)-1)</f>
        <v>8</v>
      </c>
      <c r="AG26" s="45">
        <f>VALUE(_xlfn.LET(_xlpm.x, W26, RIGHT(_xlpm.x, LEN(_xlpm.x) - FIND("*", SUBSTITUTE(_xlpm.x, "x", "*", LEN(_xlpm.x) - LEN(SUBSTITUTE(_xlpm.x, "x", "")))))))</f>
        <v>0.66</v>
      </c>
      <c r="AH26" s="51">
        <v>0.65</v>
      </c>
    </row>
    <row r="27" spans="1:35" x14ac:dyDescent="0.3">
      <c r="A27" s="27" t="s">
        <v>292</v>
      </c>
      <c r="B27" s="28">
        <v>19</v>
      </c>
      <c r="C27" s="14" t="s">
        <v>32</v>
      </c>
      <c r="D27" s="14" t="s">
        <v>33</v>
      </c>
      <c r="E27" s="7" t="s">
        <v>251</v>
      </c>
      <c r="F27" s="7" t="s">
        <v>293</v>
      </c>
      <c r="G27" s="29">
        <v>12</v>
      </c>
      <c r="H27" s="7" t="s">
        <v>36</v>
      </c>
      <c r="I27" s="7" t="s">
        <v>264</v>
      </c>
      <c r="J27" s="7" t="s">
        <v>284</v>
      </c>
      <c r="K27" s="7" t="s">
        <v>285</v>
      </c>
      <c r="L27" s="14" t="s">
        <v>294</v>
      </c>
      <c r="M27" s="30">
        <v>0</v>
      </c>
      <c r="N27" s="30" t="s">
        <v>41</v>
      </c>
      <c r="O27" s="14" t="s">
        <v>295</v>
      </c>
      <c r="P27" s="7" t="s">
        <v>43</v>
      </c>
      <c r="Q27" s="7" t="s">
        <v>296</v>
      </c>
      <c r="R27" s="31">
        <v>2.5999999999999999E-2</v>
      </c>
      <c r="S27" s="7" t="s">
        <v>289</v>
      </c>
      <c r="T27" s="32">
        <v>0.01</v>
      </c>
      <c r="U27" s="32" t="s">
        <v>60</v>
      </c>
      <c r="V27" s="33">
        <v>0.45</v>
      </c>
      <c r="W27" s="33" t="s">
        <v>290</v>
      </c>
      <c r="X27" s="66">
        <v>-90</v>
      </c>
      <c r="Y27" s="7" t="s">
        <v>291</v>
      </c>
      <c r="Z27" s="72"/>
      <c r="AA27" s="7"/>
      <c r="AB27" s="7" t="s">
        <v>261</v>
      </c>
      <c r="AC27" s="7" t="s">
        <v>171</v>
      </c>
      <c r="AD27" s="34"/>
      <c r="AE27" s="34">
        <v>2</v>
      </c>
      <c r="AF27" t="str">
        <f>LEFT(W27,FIND("x",W27)-1)</f>
        <v>8</v>
      </c>
      <c r="AG27" s="45">
        <f>VALUE(_xlfn.LET(_xlpm.x, W27, RIGHT(_xlpm.x, LEN(_xlpm.x) - FIND("*", SUBSTITUTE(_xlpm.x, "x", "*", LEN(_xlpm.x) - LEN(SUBSTITUTE(_xlpm.x, "x", "")))))))</f>
        <v>0.66</v>
      </c>
      <c r="AH27" s="51">
        <v>0.65</v>
      </c>
    </row>
    <row r="28" spans="1:35" x14ac:dyDescent="0.3">
      <c r="A28" s="4" t="s">
        <v>300</v>
      </c>
      <c r="B28" s="10">
        <v>7</v>
      </c>
      <c r="C28" s="6" t="s">
        <v>32</v>
      </c>
      <c r="D28" s="5" t="s">
        <v>301</v>
      </c>
      <c r="E28" s="6" t="s">
        <v>302</v>
      </c>
      <c r="F28" s="6" t="s">
        <v>303</v>
      </c>
      <c r="G28" s="6"/>
      <c r="H28" s="6" t="s">
        <v>302</v>
      </c>
      <c r="I28" s="6"/>
      <c r="J28" s="6" t="s">
        <v>304</v>
      </c>
      <c r="K28" s="6" t="s">
        <v>305</v>
      </c>
      <c r="L28" s="5" t="s">
        <v>306</v>
      </c>
      <c r="M28" s="6">
        <v>1</v>
      </c>
      <c r="N28" s="6" t="s">
        <v>305</v>
      </c>
      <c r="O28" s="5"/>
      <c r="P28" s="6"/>
      <c r="Q28" s="6"/>
      <c r="R28" s="8"/>
      <c r="S28" s="6"/>
      <c r="T28" s="5"/>
      <c r="U28" s="5" t="s">
        <v>307</v>
      </c>
      <c r="V28" s="9">
        <v>1.1100000000000001</v>
      </c>
      <c r="W28" s="9"/>
      <c r="X28" s="9"/>
      <c r="Y28" s="6"/>
      <c r="Z28" s="6"/>
      <c r="AA28" s="46"/>
      <c r="AB28" s="6"/>
      <c r="AC28" s="7"/>
      <c r="AD28" s="10"/>
      <c r="AE28" s="10">
        <f>1*VALUE(RIGHT($AE$1, 2))</f>
        <v>1</v>
      </c>
      <c r="AF28" s="10"/>
      <c r="AG28" s="10"/>
      <c r="AH28" s="10"/>
      <c r="AI28" s="10"/>
    </row>
  </sheetData>
  <sortState xmlns:xlrd2="http://schemas.microsoft.com/office/spreadsheetml/2017/richdata2" ref="A2:AH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Crutcher</dc:creator>
  <cp:lastModifiedBy>Nathaniel Crutcher</cp:lastModifiedBy>
  <dcterms:created xsi:type="dcterms:W3CDTF">2026-08-06T15:50:49Z</dcterms:created>
  <dcterms:modified xsi:type="dcterms:W3CDTF">2026-08-09T21:37:54Z</dcterms:modified>
</cp:coreProperties>
</file>