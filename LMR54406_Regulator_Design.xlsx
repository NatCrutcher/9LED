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a041a59f98cdcb/LED Lights/SchPcb/9LedCluster/"/>
    </mc:Choice>
  </mc:AlternateContent>
  <xr:revisionPtr revIDLastSave="516" documentId="8_{3196F6A2-2038-4809-9272-D6C404982E04}" xr6:coauthVersionLast="47" xr6:coauthVersionMax="47" xr10:uidLastSave="{66920B7C-64EA-4C4F-A984-519C0C2FE11E}"/>
  <bookViews>
    <workbookView xWindow="24708" yWindow="4212" windowWidth="19476" windowHeight="18816" xr2:uid="{F52FBD80-4F3C-468F-882B-DBD5F97B612F}"/>
  </bookViews>
  <sheets>
    <sheet name="Design" sheetId="2" r:id="rId1"/>
    <sheet name="PS Test" sheetId="3" r:id="rId2"/>
    <sheet name="LED Drive Te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J15" i="2" s="1"/>
  <c r="C15" i="2"/>
  <c r="E14" i="2"/>
  <c r="J14" i="2" s="1"/>
  <c r="C14" i="2"/>
  <c r="E17" i="2"/>
  <c r="F17" i="2" s="1"/>
  <c r="C17" i="2"/>
  <c r="E13" i="2"/>
  <c r="J13" i="2" s="1"/>
  <c r="C13" i="2"/>
  <c r="D44" i="2"/>
  <c r="D45" i="2" s="1"/>
  <c r="D41" i="2"/>
  <c r="D40" i="2"/>
  <c r="D37" i="2"/>
  <c r="D36" i="2"/>
  <c r="C44" i="2"/>
  <c r="C45" i="2" s="1"/>
  <c r="C41" i="2"/>
  <c r="C40" i="2"/>
  <c r="C37" i="2"/>
  <c r="C36" i="2"/>
  <c r="B44" i="2"/>
  <c r="B45" i="2" s="1"/>
  <c r="B41" i="2"/>
  <c r="B40" i="2"/>
  <c r="B37" i="2"/>
  <c r="B36" i="2"/>
  <c r="E16" i="2"/>
  <c r="J16" i="2" s="1"/>
  <c r="E12" i="2"/>
  <c r="J12" i="2" s="1"/>
  <c r="E11" i="2"/>
  <c r="J11" i="2" s="1"/>
  <c r="E10" i="2"/>
  <c r="J10" i="2" s="1"/>
  <c r="E9" i="2"/>
  <c r="J9" i="2" s="1"/>
  <c r="C16" i="2"/>
  <c r="C12" i="2"/>
  <c r="C11" i="2"/>
  <c r="C10" i="2"/>
  <c r="C9" i="2"/>
  <c r="K4" i="2"/>
  <c r="J4" i="2"/>
  <c r="F4" i="2"/>
  <c r="H4" i="2" s="1"/>
  <c r="I4" i="2" s="1"/>
  <c r="E25" i="2"/>
  <c r="E28" i="2" s="1"/>
  <c r="E29" i="2"/>
  <c r="J18" i="3"/>
  <c r="J8" i="3"/>
  <c r="J7" i="3"/>
  <c r="J6" i="3"/>
  <c r="J5" i="3"/>
  <c r="J4" i="3"/>
  <c r="J3" i="3"/>
  <c r="J19" i="3"/>
  <c r="I18" i="3"/>
  <c r="I17" i="3"/>
  <c r="I16" i="3"/>
  <c r="I8" i="3"/>
  <c r="I7" i="3"/>
  <c r="I6" i="3"/>
  <c r="I5" i="3"/>
  <c r="I4" i="3"/>
  <c r="I3" i="3"/>
  <c r="I19" i="3"/>
  <c r="H18" i="3"/>
  <c r="H17" i="3"/>
  <c r="J17" i="3" s="1"/>
  <c r="H16" i="3"/>
  <c r="J16" i="3" s="1"/>
  <c r="H15" i="3"/>
  <c r="J15" i="3" s="1"/>
  <c r="H14" i="3"/>
  <c r="J14" i="3" s="1"/>
  <c r="H13" i="3"/>
  <c r="J13" i="3" s="1"/>
  <c r="H12" i="3"/>
  <c r="J12" i="3" s="1"/>
  <c r="H11" i="3"/>
  <c r="H10" i="3"/>
  <c r="H9" i="3"/>
  <c r="H8" i="3"/>
  <c r="H7" i="3"/>
  <c r="H6" i="3"/>
  <c r="H5" i="3"/>
  <c r="H4" i="3"/>
  <c r="H3" i="3"/>
  <c r="H19" i="3"/>
  <c r="G18" i="3"/>
  <c r="G17" i="3"/>
  <c r="G16" i="3"/>
  <c r="G15" i="3"/>
  <c r="I15" i="3" s="1"/>
  <c r="G14" i="3"/>
  <c r="I14" i="3" s="1"/>
  <c r="G13" i="3"/>
  <c r="I13" i="3" s="1"/>
  <c r="G12" i="3"/>
  <c r="I12" i="3" s="1"/>
  <c r="G11" i="3"/>
  <c r="I11" i="3" s="1"/>
  <c r="G10" i="3"/>
  <c r="I10" i="3" s="1"/>
  <c r="G9" i="3"/>
  <c r="I9" i="3" s="1"/>
  <c r="G8" i="3"/>
  <c r="G7" i="3"/>
  <c r="G6" i="3"/>
  <c r="G5" i="3"/>
  <c r="G4" i="3"/>
  <c r="G3" i="3"/>
  <c r="G19" i="3"/>
  <c r="C29" i="2"/>
  <c r="C28" i="2"/>
  <c r="C27" i="2"/>
  <c r="C26" i="2"/>
  <c r="B29" i="2"/>
  <c r="B28" i="2"/>
  <c r="B27" i="2"/>
  <c r="B26" i="2"/>
  <c r="F21" i="2"/>
  <c r="K3" i="2"/>
  <c r="J3" i="2"/>
  <c r="F3" i="2"/>
  <c r="H3" i="2" s="1"/>
  <c r="I3" i="2" s="1"/>
  <c r="F14" i="2" l="1"/>
  <c r="H14" i="2" s="1"/>
  <c r="J17" i="2"/>
  <c r="F15" i="2"/>
  <c r="G14" i="2"/>
  <c r="I14" i="2" s="1"/>
  <c r="B46" i="2"/>
  <c r="H17" i="2"/>
  <c r="G17" i="2"/>
  <c r="C46" i="2"/>
  <c r="D46" i="2"/>
  <c r="F13" i="2"/>
  <c r="F16" i="2"/>
  <c r="G16" i="2" s="1"/>
  <c r="E27" i="2"/>
  <c r="E26" i="2"/>
  <c r="F10" i="2"/>
  <c r="H10" i="2" s="1"/>
  <c r="F12" i="2"/>
  <c r="H12" i="2" s="1"/>
  <c r="F11" i="2"/>
  <c r="H11" i="2" s="1"/>
  <c r="F9" i="2"/>
  <c r="G9" i="2" s="1"/>
  <c r="J10" i="3"/>
  <c r="J11" i="3"/>
  <c r="J9" i="3"/>
  <c r="A21" i="2"/>
  <c r="C21" i="2"/>
  <c r="I17" i="2" l="1"/>
  <c r="H9" i="2"/>
  <c r="I9" i="2" s="1"/>
  <c r="G11" i="2"/>
  <c r="G15" i="2"/>
  <c r="H15" i="2"/>
  <c r="H13" i="2"/>
  <c r="G13" i="2"/>
  <c r="I13" i="2" s="1"/>
  <c r="H16" i="2"/>
  <c r="I16" i="2" s="1"/>
  <c r="G10" i="2"/>
  <c r="I10" i="2" s="1"/>
  <c r="G12" i="2"/>
  <c r="I12" i="2" s="1"/>
  <c r="I11" i="2"/>
  <c r="I15" i="2" l="1"/>
</calcChain>
</file>

<file path=xl/sharedStrings.xml><?xml version="1.0" encoding="utf-8"?>
<sst xmlns="http://schemas.openxmlformats.org/spreadsheetml/2006/main" count="95" uniqueCount="73">
  <si>
    <t>Vcc</t>
  </si>
  <si>
    <t>Ifb</t>
  </si>
  <si>
    <t>Pr5</t>
  </si>
  <si>
    <t>Pr6</t>
  </si>
  <si>
    <t>Pfb</t>
  </si>
  <si>
    <t>Vout</t>
  </si>
  <si>
    <t>Vin_max</t>
  </si>
  <si>
    <t>L</t>
  </si>
  <si>
    <t>fSW</t>
  </si>
  <si>
    <t>Lmin</t>
  </si>
  <si>
    <t>ΔiL</t>
  </si>
  <si>
    <t>Iout_max</t>
  </si>
  <si>
    <t>K_IND</t>
  </si>
  <si>
    <t>Lrms</t>
  </si>
  <si>
    <t>Lsat</t>
  </si>
  <si>
    <t>Inductor</t>
  </si>
  <si>
    <t>Output Cap</t>
  </si>
  <si>
    <t>ΔVout_esr</t>
  </si>
  <si>
    <t>ESR</t>
  </si>
  <si>
    <t>ΔVout_C</t>
  </si>
  <si>
    <t>Cout</t>
  </si>
  <si>
    <t>Cout_min</t>
  </si>
  <si>
    <t>I_OL</t>
  </si>
  <si>
    <t>I_OH</t>
  </si>
  <si>
    <t>ΔVout_shoot</t>
  </si>
  <si>
    <t>Regulator Feedback</t>
  </si>
  <si>
    <t>R5 (R_FBT)</t>
  </si>
  <si>
    <t>Max and Recommended Voltages for TLC5971</t>
  </si>
  <si>
    <t>Vreg</t>
  </si>
  <si>
    <t>SDTI (SI)max</t>
  </si>
  <si>
    <t>SCKI (CI)max</t>
  </si>
  <si>
    <t>V_IHmin</t>
  </si>
  <si>
    <t>V_ILmax</t>
  </si>
  <si>
    <t>Notes</t>
  </si>
  <si>
    <t>Possible v2</t>
  </si>
  <si>
    <t>v1</t>
  </si>
  <si>
    <t>TI LMR54406 Regulator Testing</t>
  </si>
  <si>
    <t>Vin</t>
  </si>
  <si>
    <t>Iload (mA)</t>
  </si>
  <si>
    <t>Iin (mA)</t>
  </si>
  <si>
    <t>Tmax (°C)</t>
  </si>
  <si>
    <t>Rload (Ω)</t>
  </si>
  <si>
    <t>Pin</t>
  </si>
  <si>
    <t>Pout</t>
  </si>
  <si>
    <t>Loss</t>
  </si>
  <si>
    <t>Eff</t>
  </si>
  <si>
    <t>Use 3.3V signals</t>
  </si>
  <si>
    <t>This tests the LED drive current as a function of the LED Vcc</t>
  </si>
  <si>
    <t>LED</t>
  </si>
  <si>
    <t>TLC5971 Brightness Value</t>
  </si>
  <si>
    <t>PWM Value</t>
  </si>
  <si>
    <t>Vdc</t>
  </si>
  <si>
    <t>Idc (mA)</t>
  </si>
  <si>
    <t>2 (deep red)</t>
  </si>
  <si>
    <t>none</t>
  </si>
  <si>
    <t>0 (violet)</t>
  </si>
  <si>
    <t>0, 3, 7</t>
  </si>
  <si>
    <t>Recheck the Lmin for 4.0 Vout</t>
  </si>
  <si>
    <t>R6 (R_FBB) Target</t>
  </si>
  <si>
    <t>R6 Actual</t>
  </si>
  <si>
    <t>R5+R6 Actual</t>
  </si>
  <si>
    <t>Check Vcc</t>
  </si>
  <si>
    <t>7.3.4 Minimum ON Time, Minimum OFF Time, and Frequency Foldback</t>
  </si>
  <si>
    <t>Dmin</t>
  </si>
  <si>
    <t>Ton_min</t>
  </si>
  <si>
    <t>Fsw</t>
  </si>
  <si>
    <t>Toff_min</t>
  </si>
  <si>
    <t>Dmax</t>
  </si>
  <si>
    <t>Vin_min w/o foldback</t>
  </si>
  <si>
    <t>ΔIL</t>
  </si>
  <si>
    <t>Vin_max act</t>
  </si>
  <si>
    <t>Iout</t>
  </si>
  <si>
    <t>8.2.2.4 Output Capacitor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</si>
</sst>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"/>
    <numFmt numFmtId="166" formatCode="0.0%"/>
    <numFmt numFmtId="167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1" fontId="0" fillId="0" borderId="0" xfId="0" applyNumberFormat="1"/>
    <xf numFmtId="9" fontId="0" fillId="0" borderId="0" xfId="1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1" applyNumberFormat="1" applyFont="1"/>
    <xf numFmtId="2" fontId="0" fillId="0" borderId="0" xfId="0" applyNumberFormat="1"/>
    <xf numFmtId="165" fontId="0" fillId="2" borderId="0" xfId="0" applyNumberFormat="1" applyFill="1"/>
    <xf numFmtId="167" fontId="0" fillId="0" borderId="0" xfId="2" applyNumberFormat="1" applyFont="1"/>
    <xf numFmtId="10" fontId="0" fillId="0" borderId="0" xfId="1" applyNumberFormat="1" applyFont="1"/>
    <xf numFmtId="43" fontId="0" fillId="0" borderId="0" xfId="0" applyNumberFormat="1"/>
    <xf numFmtId="0" fontId="0" fillId="0" borderId="0" xfId="0" applyAlignment="1">
      <alignment wrapText="1"/>
    </xf>
    <xf numFmtId="167" fontId="0" fillId="3" borderId="0" xfId="2" applyNumberFormat="1" applyFont="1" applyFill="1"/>
    <xf numFmtId="165" fontId="0" fillId="3" borderId="0" xfId="0" applyNumberFormat="1" applyFill="1"/>
    <xf numFmtId="11" fontId="0" fillId="3" borderId="0" xfId="0" applyNumberFormat="1" applyFill="1"/>
    <xf numFmtId="164" fontId="0" fillId="3" borderId="0" xfId="0" applyNumberForma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Vout vs Iload 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'PS Test'!$D$2</c:f>
              <c:strCache>
                <c:ptCount val="1"/>
                <c:pt idx="0">
                  <c:v>Iload (mA)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 Test'!$D$3:$D$19</c:f>
              <c:numCache>
                <c:formatCode>General</c:formatCode>
                <c:ptCount val="17"/>
                <c:pt idx="0">
                  <c:v>22</c:v>
                </c:pt>
                <c:pt idx="1">
                  <c:v>45</c:v>
                </c:pt>
                <c:pt idx="2">
                  <c:v>89</c:v>
                </c:pt>
                <c:pt idx="3">
                  <c:v>148</c:v>
                </c:pt>
                <c:pt idx="4">
                  <c:v>222</c:v>
                </c:pt>
                <c:pt idx="5">
                  <c:v>296</c:v>
                </c:pt>
                <c:pt idx="6">
                  <c:v>341</c:v>
                </c:pt>
                <c:pt idx="7">
                  <c:v>403</c:v>
                </c:pt>
                <c:pt idx="8">
                  <c:v>442</c:v>
                </c:pt>
                <c:pt idx="9">
                  <c:v>491</c:v>
                </c:pt>
                <c:pt idx="10">
                  <c:v>552</c:v>
                </c:pt>
                <c:pt idx="11">
                  <c:v>588</c:v>
                </c:pt>
                <c:pt idx="12">
                  <c:v>629</c:v>
                </c:pt>
                <c:pt idx="13">
                  <c:v>677</c:v>
                </c:pt>
                <c:pt idx="14">
                  <c:v>732</c:v>
                </c:pt>
                <c:pt idx="15">
                  <c:v>798</c:v>
                </c:pt>
                <c:pt idx="16">
                  <c:v>0</c:v>
                </c:pt>
              </c:numCache>
            </c:numRef>
          </c:xVal>
          <c:yVal>
            <c:numRef>
              <c:f>'PS Test'!$B$3:$B$19</c:f>
              <c:numCache>
                <c:formatCode>0.000</c:formatCode>
                <c:ptCount val="17"/>
                <c:pt idx="0">
                  <c:v>4.5199999999999996</c:v>
                </c:pt>
                <c:pt idx="1">
                  <c:v>4.51</c:v>
                </c:pt>
                <c:pt idx="2">
                  <c:v>4.4850000000000003</c:v>
                </c:pt>
                <c:pt idx="3">
                  <c:v>4.4710000000000001</c:v>
                </c:pt>
                <c:pt idx="4">
                  <c:v>4.468</c:v>
                </c:pt>
                <c:pt idx="5">
                  <c:v>4.4649999999999999</c:v>
                </c:pt>
                <c:pt idx="6">
                  <c:v>4.4630000000000001</c:v>
                </c:pt>
                <c:pt idx="7">
                  <c:v>4.46</c:v>
                </c:pt>
                <c:pt idx="8">
                  <c:v>4.4580000000000002</c:v>
                </c:pt>
                <c:pt idx="9">
                  <c:v>4.4560000000000004</c:v>
                </c:pt>
                <c:pt idx="10">
                  <c:v>4.4530000000000003</c:v>
                </c:pt>
                <c:pt idx="11">
                  <c:v>4.4509999999999996</c:v>
                </c:pt>
                <c:pt idx="12">
                  <c:v>4.4489999999999998</c:v>
                </c:pt>
                <c:pt idx="13">
                  <c:v>4.4470000000000001</c:v>
                </c:pt>
                <c:pt idx="14">
                  <c:v>4.444</c:v>
                </c:pt>
                <c:pt idx="15">
                  <c:v>4.4409999999999998</c:v>
                </c:pt>
                <c:pt idx="16">
                  <c:v>4.5380000000000003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0-466F-BDA2-9F08DE19B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40752"/>
        <c:axId val="135041712"/>
      </c:scatterChart>
      <c:valAx>
        <c:axId val="1350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1712"/>
        <c:crosses val="autoZero"/>
        <c:crossBetween val="midCat"/>
      </c:valAx>
      <c:valAx>
        <c:axId val="13504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Tmax vs Pout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'PS Test'!$H$2</c:f>
              <c:strCache>
                <c:ptCount val="1"/>
                <c:pt idx="0">
                  <c:v>Pout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 Test'!$H$3:$H$18</c:f>
              <c:numCache>
                <c:formatCode>0.000</c:formatCode>
                <c:ptCount val="16"/>
                <c:pt idx="0">
                  <c:v>9.9440000000000001E-2</c:v>
                </c:pt>
                <c:pt idx="1">
                  <c:v>0.20294999999999999</c:v>
                </c:pt>
                <c:pt idx="2">
                  <c:v>0.39916500000000005</c:v>
                </c:pt>
                <c:pt idx="3">
                  <c:v>0.66170799999999996</c:v>
                </c:pt>
                <c:pt idx="4">
                  <c:v>0.991896</c:v>
                </c:pt>
                <c:pt idx="5">
                  <c:v>1.3216399999999999</c:v>
                </c:pt>
                <c:pt idx="6">
                  <c:v>1.5218830000000001</c:v>
                </c:pt>
                <c:pt idx="7">
                  <c:v>1.79738</c:v>
                </c:pt>
                <c:pt idx="8">
                  <c:v>1.9704360000000001</c:v>
                </c:pt>
                <c:pt idx="9">
                  <c:v>2.1878960000000003</c:v>
                </c:pt>
                <c:pt idx="10">
                  <c:v>2.458056</c:v>
                </c:pt>
                <c:pt idx="11">
                  <c:v>2.6171879999999996</c:v>
                </c:pt>
                <c:pt idx="12">
                  <c:v>2.7984209999999998</c:v>
                </c:pt>
                <c:pt idx="13">
                  <c:v>3.0106190000000002</c:v>
                </c:pt>
                <c:pt idx="14">
                  <c:v>3.2530079999999999</c:v>
                </c:pt>
                <c:pt idx="15">
                  <c:v>3.5439179999999997</c:v>
                </c:pt>
              </c:numCache>
            </c:numRef>
          </c:xVal>
          <c:yVal>
            <c:numRef>
              <c:f>'PS Test'!$F$3:$F$18</c:f>
              <c:numCache>
                <c:formatCode>0.0</c:formatCode>
                <c:ptCount val="16"/>
                <c:pt idx="0">
                  <c:v>24</c:v>
                </c:pt>
                <c:pt idx="1">
                  <c:v>27</c:v>
                </c:pt>
                <c:pt idx="2">
                  <c:v>30</c:v>
                </c:pt>
                <c:pt idx="3">
                  <c:v>32.5</c:v>
                </c:pt>
                <c:pt idx="4">
                  <c:v>34</c:v>
                </c:pt>
                <c:pt idx="5">
                  <c:v>36.5</c:v>
                </c:pt>
                <c:pt idx="6">
                  <c:v>38.5</c:v>
                </c:pt>
                <c:pt idx="7">
                  <c:v>41</c:v>
                </c:pt>
                <c:pt idx="8">
                  <c:v>43.5</c:v>
                </c:pt>
                <c:pt idx="9">
                  <c:v>46</c:v>
                </c:pt>
                <c:pt idx="10">
                  <c:v>48.5</c:v>
                </c:pt>
                <c:pt idx="11">
                  <c:v>50.5</c:v>
                </c:pt>
                <c:pt idx="12">
                  <c:v>53.5</c:v>
                </c:pt>
                <c:pt idx="13">
                  <c:v>56.5</c:v>
                </c:pt>
                <c:pt idx="14">
                  <c:v>60.5</c:v>
                </c:pt>
                <c:pt idx="15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E-4814-AA27-DCEBE2BB4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65968"/>
        <c:axId val="147567408"/>
      </c:scatterChart>
      <c:valAx>
        <c:axId val="14756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67408"/>
        <c:crosses val="autoZero"/>
        <c:crossBetween val="midCat"/>
      </c:valAx>
      <c:valAx>
        <c:axId val="147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6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 Pout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'PS Test'!$J$2</c:f>
              <c:strCache>
                <c:ptCount val="1"/>
                <c:pt idx="0">
                  <c:v>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 Test'!$H$3:$H$18</c:f>
              <c:numCache>
                <c:formatCode>0.000</c:formatCode>
                <c:ptCount val="16"/>
                <c:pt idx="0">
                  <c:v>9.9440000000000001E-2</c:v>
                </c:pt>
                <c:pt idx="1">
                  <c:v>0.20294999999999999</c:v>
                </c:pt>
                <c:pt idx="2">
                  <c:v>0.39916500000000005</c:v>
                </c:pt>
                <c:pt idx="3">
                  <c:v>0.66170799999999996</c:v>
                </c:pt>
                <c:pt idx="4">
                  <c:v>0.991896</c:v>
                </c:pt>
                <c:pt idx="5">
                  <c:v>1.3216399999999999</c:v>
                </c:pt>
                <c:pt idx="6">
                  <c:v>1.5218830000000001</c:v>
                </c:pt>
                <c:pt idx="7">
                  <c:v>1.79738</c:v>
                </c:pt>
                <c:pt idx="8">
                  <c:v>1.9704360000000001</c:v>
                </c:pt>
                <c:pt idx="9">
                  <c:v>2.1878960000000003</c:v>
                </c:pt>
                <c:pt idx="10">
                  <c:v>2.458056</c:v>
                </c:pt>
                <c:pt idx="11">
                  <c:v>2.6171879999999996</c:v>
                </c:pt>
                <c:pt idx="12">
                  <c:v>2.7984209999999998</c:v>
                </c:pt>
                <c:pt idx="13">
                  <c:v>3.0106190000000002</c:v>
                </c:pt>
                <c:pt idx="14">
                  <c:v>3.2530079999999999</c:v>
                </c:pt>
                <c:pt idx="15">
                  <c:v>3.5439179999999997</c:v>
                </c:pt>
              </c:numCache>
            </c:numRef>
          </c:xVal>
          <c:yVal>
            <c:numRef>
              <c:f>'PS Test'!$J$3:$J$18</c:f>
              <c:numCache>
                <c:formatCode>0.0%</c:formatCode>
                <c:ptCount val="16"/>
                <c:pt idx="0">
                  <c:v>0.78176100628930834</c:v>
                </c:pt>
                <c:pt idx="1">
                  <c:v>0.79030373831775702</c:v>
                </c:pt>
                <c:pt idx="2">
                  <c:v>0.76999421296296289</c:v>
                </c:pt>
                <c:pt idx="3">
                  <c:v>0.81091666666666662</c:v>
                </c:pt>
                <c:pt idx="4">
                  <c:v>0.84344897959183673</c:v>
                </c:pt>
                <c:pt idx="5">
                  <c:v>0.85642820114048734</c:v>
                </c:pt>
                <c:pt idx="6">
                  <c:v>0.8569161036036036</c:v>
                </c:pt>
                <c:pt idx="7">
                  <c:v>0.85883983180428136</c:v>
                </c:pt>
                <c:pt idx="8">
                  <c:v>0.85700939457202507</c:v>
                </c:pt>
                <c:pt idx="9">
                  <c:v>0.85518136335209527</c:v>
                </c:pt>
                <c:pt idx="10">
                  <c:v>0.850656146179402</c:v>
                </c:pt>
                <c:pt idx="11">
                  <c:v>0.84534496124030989</c:v>
                </c:pt>
                <c:pt idx="12">
                  <c:v>0.84006394092219006</c:v>
                </c:pt>
                <c:pt idx="13">
                  <c:v>0.83572590495225418</c:v>
                </c:pt>
                <c:pt idx="14">
                  <c:v>0.82697986577181204</c:v>
                </c:pt>
                <c:pt idx="15">
                  <c:v>0.81807894736842102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4-4B58-B3D7-1FAA69EB2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445408"/>
        <c:axId val="1597445888"/>
      </c:scatterChart>
      <c:valAx>
        <c:axId val="159744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445888"/>
        <c:crosses val="autoZero"/>
        <c:crossBetween val="midCat"/>
      </c:valAx>
      <c:valAx>
        <c:axId val="15974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44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 Iload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'PS Test'!$J$2</c:f>
              <c:strCache>
                <c:ptCount val="1"/>
                <c:pt idx="0">
                  <c:v>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 Test'!$D$3:$D$18</c:f>
              <c:numCache>
                <c:formatCode>General</c:formatCode>
                <c:ptCount val="16"/>
                <c:pt idx="0">
                  <c:v>22</c:v>
                </c:pt>
                <c:pt idx="1">
                  <c:v>45</c:v>
                </c:pt>
                <c:pt idx="2">
                  <c:v>89</c:v>
                </c:pt>
                <c:pt idx="3">
                  <c:v>148</c:v>
                </c:pt>
                <c:pt idx="4">
                  <c:v>222</c:v>
                </c:pt>
                <c:pt idx="5">
                  <c:v>296</c:v>
                </c:pt>
                <c:pt idx="6">
                  <c:v>341</c:v>
                </c:pt>
                <c:pt idx="7">
                  <c:v>403</c:v>
                </c:pt>
                <c:pt idx="8">
                  <c:v>442</c:v>
                </c:pt>
                <c:pt idx="9">
                  <c:v>491</c:v>
                </c:pt>
                <c:pt idx="10">
                  <c:v>552</c:v>
                </c:pt>
                <c:pt idx="11">
                  <c:v>588</c:v>
                </c:pt>
                <c:pt idx="12">
                  <c:v>629</c:v>
                </c:pt>
                <c:pt idx="13">
                  <c:v>677</c:v>
                </c:pt>
                <c:pt idx="14">
                  <c:v>732</c:v>
                </c:pt>
                <c:pt idx="15">
                  <c:v>798</c:v>
                </c:pt>
              </c:numCache>
            </c:numRef>
          </c:xVal>
          <c:yVal>
            <c:numRef>
              <c:f>'PS Test'!$J$3:$J$18</c:f>
              <c:numCache>
                <c:formatCode>0.0%</c:formatCode>
                <c:ptCount val="16"/>
                <c:pt idx="0">
                  <c:v>0.78176100628930834</c:v>
                </c:pt>
                <c:pt idx="1">
                  <c:v>0.79030373831775702</c:v>
                </c:pt>
                <c:pt idx="2">
                  <c:v>0.76999421296296289</c:v>
                </c:pt>
                <c:pt idx="3">
                  <c:v>0.81091666666666662</c:v>
                </c:pt>
                <c:pt idx="4">
                  <c:v>0.84344897959183673</c:v>
                </c:pt>
                <c:pt idx="5">
                  <c:v>0.85642820114048734</c:v>
                </c:pt>
                <c:pt idx="6">
                  <c:v>0.8569161036036036</c:v>
                </c:pt>
                <c:pt idx="7">
                  <c:v>0.85883983180428136</c:v>
                </c:pt>
                <c:pt idx="8">
                  <c:v>0.85700939457202507</c:v>
                </c:pt>
                <c:pt idx="9">
                  <c:v>0.85518136335209527</c:v>
                </c:pt>
                <c:pt idx="10">
                  <c:v>0.850656146179402</c:v>
                </c:pt>
                <c:pt idx="11">
                  <c:v>0.84534496124030989</c:v>
                </c:pt>
                <c:pt idx="12">
                  <c:v>0.84006394092219006</c:v>
                </c:pt>
                <c:pt idx="13">
                  <c:v>0.83572590495225418</c:v>
                </c:pt>
                <c:pt idx="14">
                  <c:v>0.82697986577181204</c:v>
                </c:pt>
                <c:pt idx="15">
                  <c:v>0.81807894736842102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7-4B40-925D-917D9DC30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12272"/>
        <c:axId val="132511312"/>
      </c:scatterChart>
      <c:valAx>
        <c:axId val="13251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11312"/>
        <c:crosses val="autoZero"/>
        <c:crossBetween val="midCat"/>
      </c:valAx>
      <c:valAx>
        <c:axId val="1325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1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LED</a:t>
            </a:r>
            <a:r>
              <a:rPr lang="en-US" baseline="0"/>
              <a:t> Current vs Vcc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81714785651795"/>
          <c:y val="0.17171296296296296"/>
          <c:w val="0.80871062992125997"/>
          <c:h val="0.62308654126567509"/>
        </c:manualLayout>
      </c:layout>
      <c:scatterChart>
        <c:scatterStyle val="lineMarker"/>
        <c:varyColors val="0"/>
        <c:ser>
          <c:idx val="2"/>
          <c:order val="0"/>
          <c:tx>
            <c:strRef>
              <c:f>'LED Drive Test'!$E$3</c:f>
              <c:strCache>
                <c:ptCount val="1"/>
                <c:pt idx="0">
                  <c:v>Idc (mA)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'LED Drive Test'!$D$8:$D$19</c:f>
              <c:numCache>
                <c:formatCode>General</c:formatCode>
                <c:ptCount val="12"/>
                <c:pt idx="0">
                  <c:v>4.5</c:v>
                </c:pt>
                <c:pt idx="1">
                  <c:v>4.4000000000000004</c:v>
                </c:pt>
                <c:pt idx="2">
                  <c:v>4.3</c:v>
                </c:pt>
                <c:pt idx="3">
                  <c:v>4.2</c:v>
                </c:pt>
                <c:pt idx="4">
                  <c:v>4.0999999999999996</c:v>
                </c:pt>
                <c:pt idx="5">
                  <c:v>4.0999999999999996</c:v>
                </c:pt>
                <c:pt idx="6" formatCode="0.0">
                  <c:v>4</c:v>
                </c:pt>
                <c:pt idx="7">
                  <c:v>3.9</c:v>
                </c:pt>
                <c:pt idx="8">
                  <c:v>3.8</c:v>
                </c:pt>
                <c:pt idx="9">
                  <c:v>3.7</c:v>
                </c:pt>
                <c:pt idx="10">
                  <c:v>3.6</c:v>
                </c:pt>
                <c:pt idx="11">
                  <c:v>3.5</c:v>
                </c:pt>
              </c:numCache>
            </c:numRef>
          </c:xVal>
          <c:yVal>
            <c:numRef>
              <c:f>'LED Drive Test'!$E$8:$E$19</c:f>
              <c:numCache>
                <c:formatCode>0.00</c:formatCode>
                <c:ptCount val="12"/>
                <c:pt idx="0">
                  <c:v>70.489999999999995</c:v>
                </c:pt>
                <c:pt idx="1">
                  <c:v>70.400000000000006</c:v>
                </c:pt>
                <c:pt idx="2">
                  <c:v>70.3</c:v>
                </c:pt>
                <c:pt idx="3">
                  <c:v>70.2</c:v>
                </c:pt>
                <c:pt idx="4">
                  <c:v>70.09</c:v>
                </c:pt>
                <c:pt idx="5">
                  <c:v>70.099999999999994</c:v>
                </c:pt>
                <c:pt idx="6">
                  <c:v>69.97</c:v>
                </c:pt>
                <c:pt idx="7">
                  <c:v>69.83</c:v>
                </c:pt>
                <c:pt idx="8">
                  <c:v>69.63</c:v>
                </c:pt>
                <c:pt idx="9">
                  <c:v>69.349999999999994</c:v>
                </c:pt>
                <c:pt idx="10">
                  <c:v>68.84</c:v>
                </c:pt>
                <c:pt idx="11">
                  <c:v>66.989999999999995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2-43FC-99E1-DFCC9AF32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605968"/>
        <c:axId val="918603088"/>
      </c:scatterChart>
      <c:valAx>
        <c:axId val="918605968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Vcc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03088"/>
        <c:crosses val="autoZero"/>
        <c:crossBetween val="midCat"/>
      </c:valAx>
      <c:valAx>
        <c:axId val="9186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LED Current (mA)</a:t>
                </a:r>
              </a:p>
            </c:rich>
          </c:tx>
          <c:layout>
            <c:manualLayout>
              <c:xMode val="edge"/>
              <c:yMode val="edge"/>
              <c:x val="4.4444444444444446E-2"/>
              <c:y val="0.30863808690580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0596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2</xdr:row>
      <xdr:rowOff>19050</xdr:rowOff>
    </xdr:from>
    <xdr:to>
      <xdr:col>18</xdr:col>
      <xdr:colOff>327660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E7B383-0110-E396-4BD2-BCEB31596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</xdr:colOff>
      <xdr:row>17</xdr:row>
      <xdr:rowOff>156210</xdr:rowOff>
    </xdr:from>
    <xdr:to>
      <xdr:col>18</xdr:col>
      <xdr:colOff>335280</xdr:colOff>
      <xdr:row>32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931D2C-A82C-DD6D-FDA5-CB559A079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152400</xdr:colOff>
      <xdr:row>19</xdr:row>
      <xdr:rowOff>171450</xdr:rowOff>
    </xdr:from>
    <xdr:to>
      <xdr:col>10</xdr:col>
      <xdr:colOff>396240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C2B0AB-46C7-3095-9081-0DDA63F75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152400</xdr:colOff>
      <xdr:row>35</xdr:row>
      <xdr:rowOff>110490</xdr:rowOff>
    </xdr:from>
    <xdr:to>
      <xdr:col>10</xdr:col>
      <xdr:colOff>396240</xdr:colOff>
      <xdr:row>50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A66A06-8663-A424-995F-365B1DAAA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186690</xdr:colOff>
      <xdr:row>2</xdr:row>
      <xdr:rowOff>57150</xdr:rowOff>
    </xdr:from>
    <xdr:to>
      <xdr:col>14</xdr:col>
      <xdr:colOff>297180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A8C74-8538-F611-9BEA-99CD18141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2C51-9D2D-486A-82D4-90D90BDC91FD}">
  <dimension ref="A1:K48"/>
  <sheetViews>
    <sheetView tabSelected="1" workbookViewId="0">
      <selection activeCell="D10" sqref="D10"/>
    </sheetView>
  </sheetViews>
  <sheetFormatPr defaultRowHeight="14.4" x14ac:dyDescent="0.3"/>
  <cols>
    <col min="1" max="1" width="11.109375" customWidth="1"/>
    <col min="2" max="2" width="12.33203125" bestFit="1" customWidth="1"/>
    <col min="3" max="4" width="10.77734375" customWidth="1"/>
    <col min="5" max="5" width="12.33203125" bestFit="1" customWidth="1"/>
  </cols>
  <sheetData>
    <row r="1" spans="1:11" x14ac:dyDescent="0.3">
      <c r="A1" s="4" t="s">
        <v>15</v>
      </c>
    </row>
    <row r="2" spans="1:11" x14ac:dyDescent="0.3">
      <c r="A2" t="s">
        <v>5</v>
      </c>
      <c r="B2" t="s">
        <v>6</v>
      </c>
      <c r="C2" t="s">
        <v>7</v>
      </c>
      <c r="E2" t="s">
        <v>8</v>
      </c>
      <c r="F2" t="s">
        <v>10</v>
      </c>
      <c r="G2" t="s">
        <v>11</v>
      </c>
      <c r="H2" t="s">
        <v>12</v>
      </c>
      <c r="I2" t="s">
        <v>9</v>
      </c>
      <c r="J2" t="s">
        <v>13</v>
      </c>
      <c r="K2" t="s">
        <v>14</v>
      </c>
    </row>
    <row r="3" spans="1:11" x14ac:dyDescent="0.3">
      <c r="A3">
        <v>4.5</v>
      </c>
      <c r="B3">
        <v>25</v>
      </c>
      <c r="C3" s="2">
        <v>1.5E-5</v>
      </c>
      <c r="D3" s="2"/>
      <c r="E3">
        <v>1100000</v>
      </c>
      <c r="F3" s="1">
        <f>A3*(B3-A3)/(B3*C3*E3)</f>
        <v>0.22363636363636363</v>
      </c>
      <c r="G3" s="1">
        <v>0.55000000000000004</v>
      </c>
      <c r="H3" s="3">
        <f>F3/G3</f>
        <v>0.40661157024793382</v>
      </c>
      <c r="I3" s="2">
        <f>(B3-A3)*A3/(G3*H3*B3*E3)</f>
        <v>1.5000000000000002E-5</v>
      </c>
      <c r="J3">
        <f>1.5*G3/1</f>
        <v>0.82500000000000007</v>
      </c>
      <c r="K3">
        <f>2.5*G3/1</f>
        <v>1.375</v>
      </c>
    </row>
    <row r="4" spans="1:11" x14ac:dyDescent="0.3">
      <c r="A4" s="7">
        <v>4</v>
      </c>
      <c r="B4">
        <v>25</v>
      </c>
      <c r="C4" s="2">
        <v>1.5E-5</v>
      </c>
      <c r="D4" s="2"/>
      <c r="E4">
        <v>1100000</v>
      </c>
      <c r="F4" s="1">
        <f>A4*(B4-A4)/(B4*C4*E4)</f>
        <v>0.20363636363636364</v>
      </c>
      <c r="G4" s="1">
        <v>0.55000000000000004</v>
      </c>
      <c r="H4" s="3">
        <f>F4/G4</f>
        <v>0.3702479338842975</v>
      </c>
      <c r="I4" s="2">
        <f>(B4-A4)*A4/(G4*H4*B4*E4)</f>
        <v>1.5E-5</v>
      </c>
      <c r="J4">
        <f>1.5*G4/1</f>
        <v>0.82500000000000007</v>
      </c>
      <c r="K4">
        <f>2.5*G4/1</f>
        <v>1.375</v>
      </c>
    </row>
    <row r="5" spans="1:11" x14ac:dyDescent="0.3">
      <c r="A5" s="10" t="s">
        <v>57</v>
      </c>
      <c r="C5" s="2"/>
      <c r="D5" s="2"/>
      <c r="F5" s="1"/>
      <c r="G5" s="1"/>
      <c r="H5" s="3"/>
      <c r="I5" s="2"/>
    </row>
    <row r="7" spans="1:11" x14ac:dyDescent="0.3">
      <c r="A7" s="4" t="s">
        <v>25</v>
      </c>
    </row>
    <row r="8" spans="1:11" s="5" customFormat="1" ht="28.8" x14ac:dyDescent="0.3">
      <c r="A8" s="5" t="s">
        <v>26</v>
      </c>
      <c r="B8" s="5" t="s">
        <v>0</v>
      </c>
      <c r="C8" s="5" t="s">
        <v>58</v>
      </c>
      <c r="D8" s="5" t="s">
        <v>59</v>
      </c>
      <c r="E8" s="5" t="s">
        <v>60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61</v>
      </c>
    </row>
    <row r="9" spans="1:11" x14ac:dyDescent="0.3">
      <c r="A9" s="11">
        <v>23200</v>
      </c>
      <c r="B9" s="7">
        <v>5</v>
      </c>
      <c r="C9" s="11">
        <f>A9*(B9-0.8)/0.8</f>
        <v>121800</v>
      </c>
      <c r="D9" s="11">
        <v>121000</v>
      </c>
      <c r="E9" s="11">
        <f>A9+D9</f>
        <v>144200</v>
      </c>
      <c r="F9" s="2">
        <f>B9/E9</f>
        <v>3.4674063800277392E-5</v>
      </c>
      <c r="G9" s="2">
        <f>F9*F9*A9</f>
        <v>2.7893144249876403E-5</v>
      </c>
      <c r="H9" s="2">
        <f>F9*F9*C9</f>
        <v>1.4643900731185113E-4</v>
      </c>
      <c r="I9" s="2">
        <f>G9+H9</f>
        <v>1.7433215156172752E-4</v>
      </c>
      <c r="J9" s="1">
        <f>0.8*E9/A9</f>
        <v>4.9724137931034482</v>
      </c>
    </row>
    <row r="10" spans="1:11" x14ac:dyDescent="0.3">
      <c r="A10" s="11">
        <v>23200</v>
      </c>
      <c r="B10" s="7">
        <v>4.5</v>
      </c>
      <c r="C10" s="11">
        <f>A10*(B10-0.8)/0.8</f>
        <v>107300</v>
      </c>
      <c r="D10" s="11">
        <v>107000</v>
      </c>
      <c r="E10" s="11">
        <f>A10+D10</f>
        <v>130200</v>
      </c>
      <c r="F10" s="2">
        <f>B10/E10</f>
        <v>3.456221198156682E-5</v>
      </c>
      <c r="G10" s="2">
        <f>F10*F10*A10</f>
        <v>2.7713478731763257E-5</v>
      </c>
      <c r="H10" s="2">
        <f>F10*F10*C10</f>
        <v>1.2817483913440508E-4</v>
      </c>
      <c r="I10" s="2">
        <f>G10+H10</f>
        <v>1.5588831786616833E-4</v>
      </c>
      <c r="J10" s="1">
        <f t="shared" ref="J10:J16" si="0">0.8*E10/A10</f>
        <v>4.4896551724137934</v>
      </c>
    </row>
    <row r="11" spans="1:11" x14ac:dyDescent="0.3">
      <c r="A11" s="11">
        <v>23200</v>
      </c>
      <c r="B11" s="7">
        <v>4</v>
      </c>
      <c r="C11" s="11">
        <f>A11*(B11-0.8)/0.8</f>
        <v>92800</v>
      </c>
      <c r="D11" s="11">
        <v>93100</v>
      </c>
      <c r="E11" s="11">
        <f>A11+D11</f>
        <v>116300</v>
      </c>
      <c r="F11" s="2">
        <f t="shared" ref="F11:F16" si="1">B11/E11</f>
        <v>3.4393809114359416E-5</v>
      </c>
      <c r="G11" s="2">
        <f t="shared" ref="G11:G16" si="2">F11*F11*A11</f>
        <v>2.7444071245163832E-5</v>
      </c>
      <c r="H11" s="2">
        <f t="shared" ref="H11:H16" si="3">F11*F11*C11</f>
        <v>1.0977628498065533E-4</v>
      </c>
      <c r="I11" s="2">
        <f t="shared" ref="I11:I16" si="4">G11+H11</f>
        <v>1.3722035622581915E-4</v>
      </c>
      <c r="J11" s="1">
        <f t="shared" si="0"/>
        <v>4.0103448275862066</v>
      </c>
    </row>
    <row r="12" spans="1:11" x14ac:dyDescent="0.3">
      <c r="A12" s="11">
        <v>23200</v>
      </c>
      <c r="B12" s="7">
        <v>4.5</v>
      </c>
      <c r="C12" s="11">
        <f>A12*(B12-0.8)/0.8</f>
        <v>107300</v>
      </c>
      <c r="D12" s="11">
        <v>107000</v>
      </c>
      <c r="E12" s="11">
        <f>A12+D12</f>
        <v>130200</v>
      </c>
      <c r="F12" s="2">
        <f t="shared" ref="F12:F15" si="5">B12/E12</f>
        <v>3.456221198156682E-5</v>
      </c>
      <c r="G12" s="2">
        <f t="shared" ref="G12:G15" si="6">F12*F12*A12</f>
        <v>2.7713478731763257E-5</v>
      </c>
      <c r="H12" s="2">
        <f t="shared" ref="H12:H15" si="7">F12*F12*C12</f>
        <v>1.2817483913440508E-4</v>
      </c>
      <c r="I12" s="2">
        <f t="shared" ref="I12:I15" si="8">G12+H12</f>
        <v>1.5588831786616833E-4</v>
      </c>
      <c r="J12" s="1">
        <f t="shared" si="0"/>
        <v>4.4896551724137934</v>
      </c>
    </row>
    <row r="13" spans="1:11" x14ac:dyDescent="0.3">
      <c r="A13" s="11">
        <v>23200</v>
      </c>
      <c r="B13" s="7">
        <v>4</v>
      </c>
      <c r="C13" s="11">
        <f>A13*(B13-0.8)/0.8</f>
        <v>92800</v>
      </c>
      <c r="D13" s="11">
        <v>93100</v>
      </c>
      <c r="E13" s="11">
        <f>A13+D13</f>
        <v>116300</v>
      </c>
      <c r="F13" s="2">
        <f t="shared" si="5"/>
        <v>3.4393809114359416E-5</v>
      </c>
      <c r="G13" s="2">
        <f t="shared" si="6"/>
        <v>2.7444071245163832E-5</v>
      </c>
      <c r="H13" s="2">
        <f t="shared" si="7"/>
        <v>1.0977628498065533E-4</v>
      </c>
      <c r="I13" s="2">
        <f t="shared" si="8"/>
        <v>1.3722035622581915E-4</v>
      </c>
      <c r="J13" s="1">
        <f t="shared" ref="J13:J15" si="9">0.8*E13/A13</f>
        <v>4.0103448275862066</v>
      </c>
    </row>
    <row r="14" spans="1:11" x14ac:dyDescent="0.3">
      <c r="A14" s="11">
        <v>18000</v>
      </c>
      <c r="B14" s="7">
        <v>4</v>
      </c>
      <c r="C14" s="11">
        <f>A14*(B14-0.8)/0.8</f>
        <v>72000</v>
      </c>
      <c r="D14" s="11">
        <v>75000</v>
      </c>
      <c r="E14" s="11">
        <f>A14+D14</f>
        <v>93000</v>
      </c>
      <c r="F14" s="2">
        <f t="shared" si="5"/>
        <v>4.301075268817204E-5</v>
      </c>
      <c r="G14" s="2">
        <f t="shared" si="6"/>
        <v>3.329864724245577E-5</v>
      </c>
      <c r="H14" s="2">
        <f t="shared" si="7"/>
        <v>1.3319458896982308E-4</v>
      </c>
      <c r="I14" s="2">
        <f t="shared" si="8"/>
        <v>1.6649323621227886E-4</v>
      </c>
      <c r="J14" s="1">
        <f t="shared" si="9"/>
        <v>4.1333333333333337</v>
      </c>
    </row>
    <row r="15" spans="1:11" x14ac:dyDescent="0.3">
      <c r="A15" s="11">
        <v>20000</v>
      </c>
      <c r="B15" s="7">
        <v>4</v>
      </c>
      <c r="C15" s="11">
        <f>A15*(B15-0.8)/0.8</f>
        <v>80000</v>
      </c>
      <c r="D15" s="11">
        <v>82000</v>
      </c>
      <c r="E15" s="11">
        <f>A15+D15</f>
        <v>102000</v>
      </c>
      <c r="F15" s="2">
        <f t="shared" si="5"/>
        <v>3.9215686274509805E-5</v>
      </c>
      <c r="G15" s="2">
        <f t="shared" si="6"/>
        <v>3.0757400999615536E-5</v>
      </c>
      <c r="H15" s="2">
        <f t="shared" si="7"/>
        <v>1.2302960399846214E-4</v>
      </c>
      <c r="I15" s="2">
        <f t="shared" si="8"/>
        <v>1.5378700499807767E-4</v>
      </c>
      <c r="J15" s="1">
        <f t="shared" si="9"/>
        <v>4.08</v>
      </c>
    </row>
    <row r="16" spans="1:11" x14ac:dyDescent="0.3">
      <c r="A16" s="11">
        <v>24000</v>
      </c>
      <c r="B16" s="7">
        <v>4</v>
      </c>
      <c r="C16" s="11">
        <f>A16*(B16-0.8)/0.8</f>
        <v>96000</v>
      </c>
      <c r="D16" s="11">
        <v>100000</v>
      </c>
      <c r="E16" s="11">
        <f>A16+D16</f>
        <v>124000</v>
      </c>
      <c r="F16" s="2">
        <f t="shared" si="1"/>
        <v>3.2258064516129034E-5</v>
      </c>
      <c r="G16" s="2">
        <f t="shared" si="2"/>
        <v>2.4973985431841832E-5</v>
      </c>
      <c r="H16" s="2">
        <f t="shared" si="3"/>
        <v>9.989594172736733E-5</v>
      </c>
      <c r="I16" s="2">
        <f t="shared" si="4"/>
        <v>1.2486992715920916E-4</v>
      </c>
      <c r="J16" s="1">
        <f t="shared" si="0"/>
        <v>4.1333333333333337</v>
      </c>
    </row>
    <row r="17" spans="1:10" x14ac:dyDescent="0.3">
      <c r="A17" s="15">
        <v>30000</v>
      </c>
      <c r="B17" s="16">
        <v>4</v>
      </c>
      <c r="C17" s="15">
        <f>A17*(B17-0.8)/0.8</f>
        <v>120000</v>
      </c>
      <c r="D17" s="15">
        <v>120000</v>
      </c>
      <c r="E17" s="15">
        <f>A17+D17</f>
        <v>150000</v>
      </c>
      <c r="F17" s="17">
        <f t="shared" ref="F17" si="10">B17/E17</f>
        <v>2.6666666666666667E-5</v>
      </c>
      <c r="G17" s="17">
        <f t="shared" ref="G17" si="11">F17*F17*A17</f>
        <v>2.1333333333333335E-5</v>
      </c>
      <c r="H17" s="17">
        <f t="shared" ref="H17" si="12">F17*F17*C17</f>
        <v>8.5333333333333339E-5</v>
      </c>
      <c r="I17" s="17">
        <f t="shared" ref="I17" si="13">G17+H17</f>
        <v>1.0666666666666667E-4</v>
      </c>
      <c r="J17" s="18">
        <f t="shared" ref="J17" si="14">0.8*E17/A17</f>
        <v>4</v>
      </c>
    </row>
    <row r="19" spans="1:10" x14ac:dyDescent="0.3">
      <c r="A19" s="4" t="s">
        <v>16</v>
      </c>
    </row>
    <row r="20" spans="1:10" x14ac:dyDescent="0.3">
      <c r="A20" t="s">
        <v>17</v>
      </c>
      <c r="B20" t="s">
        <v>18</v>
      </c>
      <c r="C20" t="s">
        <v>19</v>
      </c>
      <c r="E20" t="s">
        <v>20</v>
      </c>
      <c r="F20" t="s">
        <v>21</v>
      </c>
      <c r="G20" t="s">
        <v>23</v>
      </c>
      <c r="H20" t="s">
        <v>22</v>
      </c>
      <c r="I20" t="s">
        <v>24</v>
      </c>
    </row>
    <row r="21" spans="1:10" x14ac:dyDescent="0.3">
      <c r="A21">
        <f>F$3*B21</f>
        <v>6.7090909090909093E-4</v>
      </c>
      <c r="B21">
        <v>3.0000000000000001E-3</v>
      </c>
      <c r="C21" s="2">
        <f>F$3/(8*E$3*E21)</f>
        <v>1.1551465063861757E-3</v>
      </c>
      <c r="D21" s="2"/>
      <c r="E21" s="2">
        <v>2.1999999999999999E-5</v>
      </c>
      <c r="F21">
        <f>0.5*8*(G21-H21)/(E$3*I21)</f>
        <v>1.2727272727272728E-5</v>
      </c>
      <c r="G21">
        <v>0.55000000000000004</v>
      </c>
      <c r="H21">
        <v>0.2</v>
      </c>
      <c r="I21">
        <v>0.1</v>
      </c>
    </row>
    <row r="23" spans="1:10" x14ac:dyDescent="0.3">
      <c r="A23" s="4" t="s">
        <v>27</v>
      </c>
    </row>
    <row r="24" spans="1:10" x14ac:dyDescent="0.3">
      <c r="A24" t="s">
        <v>0</v>
      </c>
      <c r="B24">
        <v>4.5</v>
      </c>
      <c r="C24">
        <v>4.5</v>
      </c>
      <c r="E24" s="7">
        <v>4</v>
      </c>
    </row>
    <row r="25" spans="1:10" x14ac:dyDescent="0.3">
      <c r="A25" t="s">
        <v>28</v>
      </c>
      <c r="B25">
        <v>4.5</v>
      </c>
      <c r="C25">
        <v>3.3</v>
      </c>
      <c r="E25" s="7">
        <f>E24</f>
        <v>4</v>
      </c>
    </row>
    <row r="26" spans="1:10" x14ac:dyDescent="0.3">
      <c r="A26" t="s">
        <v>29</v>
      </c>
      <c r="B26">
        <f>B25+0.6</f>
        <v>5.0999999999999996</v>
      </c>
      <c r="C26">
        <f>C25+0.6</f>
        <v>3.9</v>
      </c>
      <c r="E26">
        <f>E25+0.6</f>
        <v>4.5999999999999996</v>
      </c>
    </row>
    <row r="27" spans="1:10" x14ac:dyDescent="0.3">
      <c r="A27" t="s">
        <v>30</v>
      </c>
      <c r="B27">
        <f>B25+0.6</f>
        <v>5.0999999999999996</v>
      </c>
      <c r="C27">
        <f>C25+0.6</f>
        <v>3.9</v>
      </c>
      <c r="E27">
        <f>E25+0.6</f>
        <v>4.5999999999999996</v>
      </c>
    </row>
    <row r="28" spans="1:10" x14ac:dyDescent="0.3">
      <c r="A28" t="s">
        <v>31</v>
      </c>
      <c r="B28">
        <f>0.7*B25</f>
        <v>3.15</v>
      </c>
      <c r="C28">
        <f>0.7*C25</f>
        <v>2.3099999999999996</v>
      </c>
      <c r="E28">
        <f>0.7*E25</f>
        <v>2.8</v>
      </c>
    </row>
    <row r="29" spans="1:10" x14ac:dyDescent="0.3">
      <c r="A29" t="s">
        <v>32</v>
      </c>
      <c r="B29">
        <f>0.3*B25</f>
        <v>1.3499999999999999</v>
      </c>
      <c r="C29">
        <f>0.3*C25</f>
        <v>0.98999999999999988</v>
      </c>
      <c r="E29">
        <f>0.3*E25</f>
        <v>1.2</v>
      </c>
    </row>
    <row r="30" spans="1:10" x14ac:dyDescent="0.3">
      <c r="A30" t="s">
        <v>33</v>
      </c>
      <c r="B30" s="6" t="s">
        <v>35</v>
      </c>
      <c r="C30" s="6" t="s">
        <v>34</v>
      </c>
      <c r="D30" s="6"/>
      <c r="E30" t="s">
        <v>46</v>
      </c>
    </row>
    <row r="32" spans="1:10" x14ac:dyDescent="0.3">
      <c r="A32" s="4" t="s">
        <v>62</v>
      </c>
    </row>
    <row r="33" spans="1:4" x14ac:dyDescent="0.3">
      <c r="A33" t="s">
        <v>64</v>
      </c>
      <c r="B33" s="2">
        <v>5.9999999999999995E-8</v>
      </c>
      <c r="C33" s="2">
        <v>5.9999999999999995E-8</v>
      </c>
      <c r="D33" s="2">
        <v>5.9999999999999995E-8</v>
      </c>
    </row>
    <row r="34" spans="1:4" x14ac:dyDescent="0.3">
      <c r="A34" t="s">
        <v>66</v>
      </c>
      <c r="B34" s="2">
        <v>1.1000000000000001E-7</v>
      </c>
      <c r="C34" s="2">
        <v>1.1000000000000001E-7</v>
      </c>
      <c r="D34" s="2">
        <v>1.1000000000000001E-7</v>
      </c>
    </row>
    <row r="35" spans="1:4" x14ac:dyDescent="0.3">
      <c r="A35" t="s">
        <v>65</v>
      </c>
      <c r="B35" s="11">
        <v>1100000</v>
      </c>
      <c r="C35" s="11">
        <v>1100000</v>
      </c>
      <c r="D35" s="11">
        <v>1100000</v>
      </c>
    </row>
    <row r="36" spans="1:4" x14ac:dyDescent="0.3">
      <c r="A36" t="s">
        <v>63</v>
      </c>
      <c r="B36" s="12">
        <f>B35*B33</f>
        <v>6.5999999999999989E-2</v>
      </c>
      <c r="C36" s="12">
        <f>C35*C33</f>
        <v>6.5999999999999989E-2</v>
      </c>
      <c r="D36" s="12">
        <f>D35*D33</f>
        <v>6.5999999999999989E-2</v>
      </c>
    </row>
    <row r="37" spans="1:4" x14ac:dyDescent="0.3">
      <c r="A37" t="s">
        <v>67</v>
      </c>
      <c r="B37" s="8">
        <f>1-(B34*B35)</f>
        <v>0.879</v>
      </c>
      <c r="C37" s="8">
        <f>1-(C34*C35)</f>
        <v>0.879</v>
      </c>
      <c r="D37" s="8">
        <f>1-(D34*D35)</f>
        <v>0.879</v>
      </c>
    </row>
    <row r="38" spans="1:4" x14ac:dyDescent="0.3">
      <c r="A38" t="s">
        <v>5</v>
      </c>
      <c r="B38" s="7">
        <v>4</v>
      </c>
      <c r="C38" s="7">
        <v>4</v>
      </c>
      <c r="D38" s="7">
        <v>4</v>
      </c>
    </row>
    <row r="39" spans="1:4" x14ac:dyDescent="0.3">
      <c r="A39" t="s">
        <v>71</v>
      </c>
      <c r="B39" s="7">
        <v>0.5</v>
      </c>
      <c r="C39" s="7">
        <v>0.5</v>
      </c>
      <c r="D39" s="7">
        <v>0.5</v>
      </c>
    </row>
    <row r="40" spans="1:4" x14ac:dyDescent="0.3">
      <c r="A40" t="s">
        <v>6</v>
      </c>
      <c r="B40" s="13">
        <f>MIN(36,B38/(B35*B33))</f>
        <v>36</v>
      </c>
      <c r="C40" s="13">
        <f>MIN(36,C38/(C35*C33))</f>
        <v>36</v>
      </c>
      <c r="D40" s="13">
        <f>MIN(36,D38/(D35*D33))</f>
        <v>36</v>
      </c>
    </row>
    <row r="41" spans="1:4" ht="28.8" x14ac:dyDescent="0.3">
      <c r="A41" s="14" t="s">
        <v>68</v>
      </c>
      <c r="B41" s="13">
        <f>B38/(1-B35*B34)</f>
        <v>4.5506257110352673</v>
      </c>
      <c r="C41" s="13">
        <f>C38/(1-C35*C34)</f>
        <v>4.5506257110352673</v>
      </c>
      <c r="D41" s="13">
        <f>D38/(1-D35*D34)</f>
        <v>4.5506257110352673</v>
      </c>
    </row>
    <row r="42" spans="1:4" x14ac:dyDescent="0.3">
      <c r="A42" s="14" t="s">
        <v>70</v>
      </c>
      <c r="B42" s="13">
        <v>28</v>
      </c>
      <c r="C42" s="13">
        <v>28</v>
      </c>
      <c r="D42" s="13">
        <v>28</v>
      </c>
    </row>
    <row r="43" spans="1:4" x14ac:dyDescent="0.3">
      <c r="A43" s="14" t="s">
        <v>7</v>
      </c>
      <c r="B43" s="2">
        <v>1.5E-5</v>
      </c>
      <c r="C43" s="2">
        <v>1.2E-5</v>
      </c>
      <c r="D43" s="2">
        <v>1.0000000000000001E-5</v>
      </c>
    </row>
    <row r="44" spans="1:4" x14ac:dyDescent="0.3">
      <c r="A44" t="s">
        <v>69</v>
      </c>
      <c r="B44" s="13">
        <f>B38*(B42-B38)/(B42*B43*B35)</f>
        <v>0.20779220779220781</v>
      </c>
      <c r="C44" s="13">
        <f>C38*(C42-C38)/(C42*C43*C35)</f>
        <v>0.25974025974025972</v>
      </c>
      <c r="D44" s="13">
        <f>D38*(D42-D38)/(D42*D43*D35)</f>
        <v>0.31168831168831163</v>
      </c>
    </row>
    <row r="45" spans="1:4" x14ac:dyDescent="0.3">
      <c r="A45" s="14" t="s">
        <v>12</v>
      </c>
      <c r="B45" s="13">
        <f>B44/0.6</f>
        <v>0.34632034632034636</v>
      </c>
      <c r="C45" s="13">
        <f>C44/0.6</f>
        <v>0.4329004329004329</v>
      </c>
      <c r="D45" s="13">
        <f>D44/0.6</f>
        <v>0.51948051948051943</v>
      </c>
    </row>
    <row r="46" spans="1:4" x14ac:dyDescent="0.3">
      <c r="A46" s="14" t="s">
        <v>9</v>
      </c>
      <c r="B46" s="2">
        <f>((B42-B38)/(B39*B45))*B38/(B40*B35)</f>
        <v>1.4E-5</v>
      </c>
      <c r="C46" s="2">
        <f>((C42-C38)/(C39*C45))*C38/(C40*C35)</f>
        <v>1.1199999999999999E-5</v>
      </c>
      <c r="D46" s="2">
        <f>((D42-D38)/(D39*D45))*D38/(D40*D35)</f>
        <v>9.3333333333333343E-6</v>
      </c>
    </row>
    <row r="48" spans="1:4" x14ac:dyDescent="0.3">
      <c r="A48" s="4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D210-5505-47A3-9B03-7D44CB6D431A}">
  <dimension ref="A1:J19"/>
  <sheetViews>
    <sheetView workbookViewId="0">
      <selection activeCell="L41" sqref="L41"/>
    </sheetView>
  </sheetViews>
  <sheetFormatPr defaultRowHeight="14.4" x14ac:dyDescent="0.3"/>
  <cols>
    <col min="4" max="4" width="9.77734375" customWidth="1"/>
  </cols>
  <sheetData>
    <row r="1" spans="1:10" x14ac:dyDescent="0.3">
      <c r="A1" s="4" t="s">
        <v>36</v>
      </c>
    </row>
    <row r="2" spans="1:10" x14ac:dyDescent="0.3">
      <c r="A2" s="4" t="s">
        <v>37</v>
      </c>
      <c r="B2" s="4" t="s">
        <v>5</v>
      </c>
      <c r="C2" s="4" t="s">
        <v>41</v>
      </c>
      <c r="D2" s="4" t="s">
        <v>38</v>
      </c>
      <c r="E2" s="4" t="s">
        <v>39</v>
      </c>
      <c r="F2" s="4" t="s">
        <v>40</v>
      </c>
      <c r="G2" s="4" t="s">
        <v>42</v>
      </c>
      <c r="H2" s="4" t="s">
        <v>43</v>
      </c>
      <c r="I2" s="4" t="s">
        <v>44</v>
      </c>
      <c r="J2" s="4" t="s">
        <v>45</v>
      </c>
    </row>
    <row r="3" spans="1:10" x14ac:dyDescent="0.3">
      <c r="A3">
        <v>24</v>
      </c>
      <c r="B3" s="1">
        <v>4.5199999999999996</v>
      </c>
      <c r="C3">
        <v>200</v>
      </c>
      <c r="D3">
        <v>22</v>
      </c>
      <c r="E3">
        <v>5.3</v>
      </c>
      <c r="F3" s="7">
        <v>24</v>
      </c>
      <c r="G3" s="1">
        <f t="shared" ref="G3:G18" si="0">A3*E3/1000</f>
        <v>0.12719999999999998</v>
      </c>
      <c r="H3" s="1">
        <f t="shared" ref="H3:H18" si="1">B3*D3/1000</f>
        <v>9.9440000000000001E-2</v>
      </c>
      <c r="I3" s="1">
        <f t="shared" ref="I3:I18" si="2">G3-H3</f>
        <v>2.7759999999999979E-2</v>
      </c>
      <c r="J3" s="8">
        <f t="shared" ref="J3:J18" si="3">H3/G3</f>
        <v>0.78176100628930834</v>
      </c>
    </row>
    <row r="4" spans="1:10" x14ac:dyDescent="0.3">
      <c r="A4">
        <v>24</v>
      </c>
      <c r="B4" s="1">
        <v>4.51</v>
      </c>
      <c r="C4">
        <v>100</v>
      </c>
      <c r="D4">
        <v>45</v>
      </c>
      <c r="E4">
        <v>10.7</v>
      </c>
      <c r="F4" s="7">
        <v>27</v>
      </c>
      <c r="G4" s="1">
        <f t="shared" si="0"/>
        <v>0.25679999999999997</v>
      </c>
      <c r="H4" s="1">
        <f t="shared" si="1"/>
        <v>0.20294999999999999</v>
      </c>
      <c r="I4" s="1">
        <f t="shared" si="2"/>
        <v>5.3849999999999981E-2</v>
      </c>
      <c r="J4" s="8">
        <f t="shared" si="3"/>
        <v>0.79030373831775702</v>
      </c>
    </row>
    <row r="5" spans="1:10" x14ac:dyDescent="0.3">
      <c r="A5">
        <v>24</v>
      </c>
      <c r="B5" s="1">
        <v>4.4850000000000003</v>
      </c>
      <c r="C5">
        <v>50</v>
      </c>
      <c r="D5">
        <v>89</v>
      </c>
      <c r="E5">
        <v>21.6</v>
      </c>
      <c r="F5" s="7">
        <v>30</v>
      </c>
      <c r="G5" s="1">
        <f t="shared" si="0"/>
        <v>0.51840000000000008</v>
      </c>
      <c r="H5" s="1">
        <f t="shared" si="1"/>
        <v>0.39916500000000005</v>
      </c>
      <c r="I5" s="1">
        <f t="shared" si="2"/>
        <v>0.11923500000000004</v>
      </c>
      <c r="J5" s="8">
        <f t="shared" si="3"/>
        <v>0.76999421296296289</v>
      </c>
    </row>
    <row r="6" spans="1:10" x14ac:dyDescent="0.3">
      <c r="A6">
        <v>24</v>
      </c>
      <c r="B6" s="1">
        <v>4.4710000000000001</v>
      </c>
      <c r="C6">
        <v>30</v>
      </c>
      <c r="D6">
        <v>148</v>
      </c>
      <c r="E6" s="7">
        <v>34</v>
      </c>
      <c r="F6" s="7">
        <v>32.5</v>
      </c>
      <c r="G6" s="1">
        <f t="shared" si="0"/>
        <v>0.81599999999999995</v>
      </c>
      <c r="H6" s="1">
        <f t="shared" si="1"/>
        <v>0.66170799999999996</v>
      </c>
      <c r="I6" s="1">
        <f t="shared" si="2"/>
        <v>0.15429199999999998</v>
      </c>
      <c r="J6" s="8">
        <f t="shared" si="3"/>
        <v>0.81091666666666662</v>
      </c>
    </row>
    <row r="7" spans="1:10" x14ac:dyDescent="0.3">
      <c r="A7">
        <v>24</v>
      </c>
      <c r="B7" s="1">
        <v>4.468</v>
      </c>
      <c r="C7">
        <v>20</v>
      </c>
      <c r="D7">
        <v>222</v>
      </c>
      <c r="E7" s="7">
        <v>49</v>
      </c>
      <c r="F7" s="7">
        <v>34</v>
      </c>
      <c r="G7" s="1">
        <f t="shared" si="0"/>
        <v>1.1759999999999999</v>
      </c>
      <c r="H7" s="1">
        <f t="shared" si="1"/>
        <v>0.991896</v>
      </c>
      <c r="I7" s="1">
        <f t="shared" si="2"/>
        <v>0.18410399999999993</v>
      </c>
      <c r="J7" s="8">
        <f t="shared" si="3"/>
        <v>0.84344897959183673</v>
      </c>
    </row>
    <row r="8" spans="1:10" x14ac:dyDescent="0.3">
      <c r="A8">
        <v>24</v>
      </c>
      <c r="B8" s="1">
        <v>4.4649999999999999</v>
      </c>
      <c r="C8">
        <v>15</v>
      </c>
      <c r="D8">
        <v>296</v>
      </c>
      <c r="E8">
        <v>64.3</v>
      </c>
      <c r="F8" s="7">
        <v>36.5</v>
      </c>
      <c r="G8" s="1">
        <f t="shared" si="0"/>
        <v>1.5431999999999999</v>
      </c>
      <c r="H8" s="1">
        <f t="shared" si="1"/>
        <v>1.3216399999999999</v>
      </c>
      <c r="I8" s="1">
        <f t="shared" si="2"/>
        <v>0.22155999999999998</v>
      </c>
      <c r="J8" s="8">
        <f t="shared" si="3"/>
        <v>0.85642820114048734</v>
      </c>
    </row>
    <row r="9" spans="1:10" x14ac:dyDescent="0.3">
      <c r="A9">
        <v>24</v>
      </c>
      <c r="B9" s="1">
        <v>4.4630000000000001</v>
      </c>
      <c r="C9">
        <v>13</v>
      </c>
      <c r="D9">
        <v>341</v>
      </c>
      <c r="E9" s="7">
        <v>74</v>
      </c>
      <c r="F9" s="7">
        <v>38.5</v>
      </c>
      <c r="G9" s="1">
        <f t="shared" si="0"/>
        <v>1.776</v>
      </c>
      <c r="H9" s="1">
        <f t="shared" si="1"/>
        <v>1.5218830000000001</v>
      </c>
      <c r="I9" s="1">
        <f t="shared" si="2"/>
        <v>0.25411699999999993</v>
      </c>
      <c r="J9" s="8">
        <f t="shared" si="3"/>
        <v>0.8569161036036036</v>
      </c>
    </row>
    <row r="10" spans="1:10" x14ac:dyDescent="0.3">
      <c r="A10">
        <v>24</v>
      </c>
      <c r="B10" s="1">
        <v>4.46</v>
      </c>
      <c r="C10">
        <v>11</v>
      </c>
      <c r="D10">
        <v>403</v>
      </c>
      <c r="E10">
        <v>87.2</v>
      </c>
      <c r="F10" s="7">
        <v>41</v>
      </c>
      <c r="G10" s="1">
        <f t="shared" si="0"/>
        <v>2.0928</v>
      </c>
      <c r="H10" s="1">
        <f t="shared" si="1"/>
        <v>1.79738</v>
      </c>
      <c r="I10" s="1">
        <f t="shared" si="2"/>
        <v>0.29542000000000002</v>
      </c>
      <c r="J10" s="8">
        <f t="shared" si="3"/>
        <v>0.85883983180428136</v>
      </c>
    </row>
    <row r="11" spans="1:10" x14ac:dyDescent="0.3">
      <c r="A11">
        <v>24</v>
      </c>
      <c r="B11" s="1">
        <v>4.4580000000000002</v>
      </c>
      <c r="C11">
        <v>10</v>
      </c>
      <c r="D11">
        <v>442</v>
      </c>
      <c r="E11">
        <v>95.8</v>
      </c>
      <c r="F11" s="7">
        <v>43.5</v>
      </c>
      <c r="G11" s="1">
        <f t="shared" si="0"/>
        <v>2.2991999999999999</v>
      </c>
      <c r="H11" s="1">
        <f t="shared" si="1"/>
        <v>1.9704360000000001</v>
      </c>
      <c r="I11" s="1">
        <f t="shared" si="2"/>
        <v>0.32876399999999983</v>
      </c>
      <c r="J11" s="8">
        <f t="shared" si="3"/>
        <v>0.85700939457202507</v>
      </c>
    </row>
    <row r="12" spans="1:10" x14ac:dyDescent="0.3">
      <c r="A12">
        <v>24</v>
      </c>
      <c r="B12" s="1">
        <v>4.4560000000000004</v>
      </c>
      <c r="C12">
        <v>9</v>
      </c>
      <c r="D12">
        <v>491</v>
      </c>
      <c r="E12">
        <v>106.6</v>
      </c>
      <c r="F12" s="7">
        <v>46</v>
      </c>
      <c r="G12" s="1">
        <f t="shared" si="0"/>
        <v>2.5583999999999998</v>
      </c>
      <c r="H12" s="1">
        <f t="shared" si="1"/>
        <v>2.1878960000000003</v>
      </c>
      <c r="I12" s="1">
        <f t="shared" si="2"/>
        <v>0.3705039999999995</v>
      </c>
      <c r="J12" s="8">
        <f t="shared" si="3"/>
        <v>0.85518136335209527</v>
      </c>
    </row>
    <row r="13" spans="1:10" x14ac:dyDescent="0.3">
      <c r="A13">
        <v>24</v>
      </c>
      <c r="B13" s="1">
        <v>4.4530000000000003</v>
      </c>
      <c r="C13">
        <v>8</v>
      </c>
      <c r="D13">
        <v>552</v>
      </c>
      <c r="E13">
        <v>120.4</v>
      </c>
      <c r="F13" s="7">
        <v>48.5</v>
      </c>
      <c r="G13" s="1">
        <f t="shared" si="0"/>
        <v>2.8896000000000002</v>
      </c>
      <c r="H13" s="1">
        <f t="shared" si="1"/>
        <v>2.458056</v>
      </c>
      <c r="I13" s="1">
        <f t="shared" si="2"/>
        <v>0.43154400000000015</v>
      </c>
      <c r="J13" s="8">
        <f t="shared" si="3"/>
        <v>0.850656146179402</v>
      </c>
    </row>
    <row r="14" spans="1:10" x14ac:dyDescent="0.3">
      <c r="A14">
        <v>24</v>
      </c>
      <c r="B14" s="1">
        <v>4.4509999999999996</v>
      </c>
      <c r="C14">
        <v>7.5</v>
      </c>
      <c r="D14">
        <v>588</v>
      </c>
      <c r="E14" s="7">
        <v>129</v>
      </c>
      <c r="F14" s="7">
        <v>50.5</v>
      </c>
      <c r="G14" s="1">
        <f t="shared" si="0"/>
        <v>3.0960000000000001</v>
      </c>
      <c r="H14" s="1">
        <f t="shared" si="1"/>
        <v>2.6171879999999996</v>
      </c>
      <c r="I14" s="1">
        <f t="shared" si="2"/>
        <v>0.47881200000000046</v>
      </c>
      <c r="J14" s="8">
        <f t="shared" si="3"/>
        <v>0.84534496124030989</v>
      </c>
    </row>
    <row r="15" spans="1:10" x14ac:dyDescent="0.3">
      <c r="A15">
        <v>24</v>
      </c>
      <c r="B15" s="1">
        <v>4.4489999999999998</v>
      </c>
      <c r="C15">
        <v>7</v>
      </c>
      <c r="D15">
        <v>629</v>
      </c>
      <c r="E15">
        <v>138.80000000000001</v>
      </c>
      <c r="F15" s="7">
        <v>53.5</v>
      </c>
      <c r="G15" s="1">
        <f t="shared" si="0"/>
        <v>3.3312000000000004</v>
      </c>
      <c r="H15" s="1">
        <f t="shared" si="1"/>
        <v>2.7984209999999998</v>
      </c>
      <c r="I15" s="1">
        <f t="shared" si="2"/>
        <v>0.53277900000000056</v>
      </c>
      <c r="J15" s="8">
        <f t="shared" si="3"/>
        <v>0.84006394092219006</v>
      </c>
    </row>
    <row r="16" spans="1:10" x14ac:dyDescent="0.3">
      <c r="A16">
        <v>24</v>
      </c>
      <c r="B16" s="1">
        <v>4.4470000000000001</v>
      </c>
      <c r="C16">
        <v>6.5</v>
      </c>
      <c r="D16">
        <v>677</v>
      </c>
      <c r="E16">
        <v>150.1</v>
      </c>
      <c r="F16" s="7">
        <v>56.5</v>
      </c>
      <c r="G16" s="1">
        <f t="shared" si="0"/>
        <v>3.6023999999999998</v>
      </c>
      <c r="H16" s="1">
        <f t="shared" si="1"/>
        <v>3.0106190000000002</v>
      </c>
      <c r="I16" s="1">
        <f t="shared" si="2"/>
        <v>0.59178099999999967</v>
      </c>
      <c r="J16" s="8">
        <f t="shared" si="3"/>
        <v>0.83572590495225418</v>
      </c>
    </row>
    <row r="17" spans="1:10" x14ac:dyDescent="0.3">
      <c r="A17">
        <v>24</v>
      </c>
      <c r="B17" s="1">
        <v>4.444</v>
      </c>
      <c r="C17">
        <v>6</v>
      </c>
      <c r="D17">
        <v>732</v>
      </c>
      <c r="E17">
        <v>163.9</v>
      </c>
      <c r="F17" s="7">
        <v>60.5</v>
      </c>
      <c r="G17" s="1">
        <f t="shared" si="0"/>
        <v>3.9336000000000002</v>
      </c>
      <c r="H17" s="1">
        <f t="shared" si="1"/>
        <v>3.2530079999999999</v>
      </c>
      <c r="I17" s="1">
        <f t="shared" si="2"/>
        <v>0.68059200000000031</v>
      </c>
      <c r="J17" s="8">
        <f t="shared" si="3"/>
        <v>0.82697986577181204</v>
      </c>
    </row>
    <row r="18" spans="1:10" x14ac:dyDescent="0.3">
      <c r="A18">
        <v>24</v>
      </c>
      <c r="B18" s="1">
        <v>4.4409999999999998</v>
      </c>
      <c r="C18">
        <v>5.5</v>
      </c>
      <c r="D18">
        <v>798</v>
      </c>
      <c r="E18">
        <v>180.5</v>
      </c>
      <c r="F18" s="7">
        <v>66</v>
      </c>
      <c r="G18" s="1">
        <f t="shared" si="0"/>
        <v>4.3319999999999999</v>
      </c>
      <c r="H18" s="1">
        <f t="shared" si="1"/>
        <v>3.5439179999999997</v>
      </c>
      <c r="I18" s="1">
        <f t="shared" si="2"/>
        <v>0.78808200000000017</v>
      </c>
      <c r="J18" s="8">
        <f t="shared" si="3"/>
        <v>0.81807894736842102</v>
      </c>
    </row>
    <row r="19" spans="1:10" x14ac:dyDescent="0.3">
      <c r="A19">
        <v>24</v>
      </c>
      <c r="B19" s="1">
        <v>4.5380000000000003</v>
      </c>
      <c r="C19" s="2">
        <v>9900000000</v>
      </c>
      <c r="D19">
        <v>0</v>
      </c>
      <c r="E19">
        <v>0.08</v>
      </c>
      <c r="F19" s="7">
        <v>22</v>
      </c>
      <c r="G19" s="1">
        <f>A19*E19/1000</f>
        <v>1.9199999999999998E-3</v>
      </c>
      <c r="H19" s="1">
        <f>B19*D19/1000</f>
        <v>0</v>
      </c>
      <c r="I19" s="1">
        <f>G19-H19</f>
        <v>1.9199999999999998E-3</v>
      </c>
      <c r="J19" s="8">
        <f>H19/G19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4CA8-4BD2-4CC9-8A41-121A6A6FBAD7}">
  <dimension ref="A1:E42"/>
  <sheetViews>
    <sheetView workbookViewId="0">
      <selection activeCell="H23" sqref="H23"/>
    </sheetView>
  </sheetViews>
  <sheetFormatPr defaultRowHeight="14.4" x14ac:dyDescent="0.3"/>
  <cols>
    <col min="1" max="2" width="10.77734375" customWidth="1"/>
  </cols>
  <sheetData>
    <row r="1" spans="1:5" x14ac:dyDescent="0.3">
      <c r="A1" t="s">
        <v>47</v>
      </c>
    </row>
    <row r="3" spans="1:5" s="5" customFormat="1" ht="43.2" x14ac:dyDescent="0.3">
      <c r="A3" s="5" t="s">
        <v>48</v>
      </c>
      <c r="B3" s="5" t="s">
        <v>49</v>
      </c>
      <c r="C3" s="5" t="s">
        <v>50</v>
      </c>
      <c r="D3" s="5" t="s">
        <v>51</v>
      </c>
      <c r="E3" s="5" t="s">
        <v>52</v>
      </c>
    </row>
    <row r="4" spans="1:5" x14ac:dyDescent="0.3">
      <c r="A4" t="s">
        <v>54</v>
      </c>
      <c r="B4">
        <v>64</v>
      </c>
      <c r="C4">
        <v>0</v>
      </c>
      <c r="D4">
        <v>4.5</v>
      </c>
      <c r="E4" s="9">
        <v>9.33</v>
      </c>
    </row>
    <row r="5" spans="1:5" x14ac:dyDescent="0.3">
      <c r="A5" t="s">
        <v>54</v>
      </c>
      <c r="B5">
        <v>127</v>
      </c>
      <c r="C5">
        <v>0</v>
      </c>
      <c r="D5">
        <v>4.0999999999999996</v>
      </c>
      <c r="E5" s="9">
        <v>9.2200000000000006</v>
      </c>
    </row>
    <row r="6" spans="1:5" x14ac:dyDescent="0.3">
      <c r="A6" t="s">
        <v>53</v>
      </c>
      <c r="B6">
        <v>64</v>
      </c>
      <c r="C6">
        <v>65535</v>
      </c>
      <c r="D6">
        <v>4.5</v>
      </c>
      <c r="E6" s="9">
        <v>40.35</v>
      </c>
    </row>
    <row r="7" spans="1:5" x14ac:dyDescent="0.3">
      <c r="A7" t="s">
        <v>55</v>
      </c>
      <c r="B7">
        <v>64</v>
      </c>
      <c r="C7">
        <v>65535</v>
      </c>
      <c r="D7">
        <v>4.5</v>
      </c>
      <c r="E7" s="9">
        <v>40.14</v>
      </c>
    </row>
    <row r="8" spans="1:5" x14ac:dyDescent="0.3">
      <c r="A8" t="s">
        <v>55</v>
      </c>
      <c r="B8">
        <v>127</v>
      </c>
      <c r="C8">
        <v>65535</v>
      </c>
      <c r="D8">
        <v>4.5</v>
      </c>
      <c r="E8" s="9">
        <v>70.489999999999995</v>
      </c>
    </row>
    <row r="9" spans="1:5" x14ac:dyDescent="0.3">
      <c r="A9" t="s">
        <v>55</v>
      </c>
      <c r="B9">
        <v>127</v>
      </c>
      <c r="C9">
        <v>65535</v>
      </c>
      <c r="D9">
        <v>4.4000000000000004</v>
      </c>
      <c r="E9" s="9">
        <v>70.400000000000006</v>
      </c>
    </row>
    <row r="10" spans="1:5" x14ac:dyDescent="0.3">
      <c r="A10" t="s">
        <v>55</v>
      </c>
      <c r="B10">
        <v>127</v>
      </c>
      <c r="C10">
        <v>65535</v>
      </c>
      <c r="D10">
        <v>4.3</v>
      </c>
      <c r="E10" s="9">
        <v>70.3</v>
      </c>
    </row>
    <row r="11" spans="1:5" x14ac:dyDescent="0.3">
      <c r="A11" t="s">
        <v>55</v>
      </c>
      <c r="B11">
        <v>127</v>
      </c>
      <c r="C11">
        <v>65535</v>
      </c>
      <c r="D11">
        <v>4.2</v>
      </c>
      <c r="E11" s="9">
        <v>70.2</v>
      </c>
    </row>
    <row r="12" spans="1:5" x14ac:dyDescent="0.3">
      <c r="A12" t="s">
        <v>55</v>
      </c>
      <c r="B12">
        <v>127</v>
      </c>
      <c r="C12">
        <v>65535</v>
      </c>
      <c r="D12">
        <v>4.0999999999999996</v>
      </c>
      <c r="E12" s="9">
        <v>70.09</v>
      </c>
    </row>
    <row r="13" spans="1:5" x14ac:dyDescent="0.3">
      <c r="A13" t="s">
        <v>55</v>
      </c>
      <c r="B13">
        <v>127</v>
      </c>
      <c r="C13">
        <v>65535</v>
      </c>
      <c r="D13">
        <v>4.0999999999999996</v>
      </c>
      <c r="E13" s="9">
        <v>70.099999999999994</v>
      </c>
    </row>
    <row r="14" spans="1:5" x14ac:dyDescent="0.3">
      <c r="A14" t="s">
        <v>55</v>
      </c>
      <c r="B14">
        <v>127</v>
      </c>
      <c r="C14">
        <v>65535</v>
      </c>
      <c r="D14" s="7">
        <v>4</v>
      </c>
      <c r="E14" s="9">
        <v>69.97</v>
      </c>
    </row>
    <row r="15" spans="1:5" x14ac:dyDescent="0.3">
      <c r="A15" t="s">
        <v>55</v>
      </c>
      <c r="B15">
        <v>127</v>
      </c>
      <c r="C15">
        <v>65535</v>
      </c>
      <c r="D15">
        <v>3.9</v>
      </c>
      <c r="E15" s="9">
        <v>69.83</v>
      </c>
    </row>
    <row r="16" spans="1:5" x14ac:dyDescent="0.3">
      <c r="A16" t="s">
        <v>55</v>
      </c>
      <c r="B16">
        <v>127</v>
      </c>
      <c r="C16">
        <v>65535</v>
      </c>
      <c r="D16">
        <v>3.8</v>
      </c>
      <c r="E16" s="9">
        <v>69.63</v>
      </c>
    </row>
    <row r="17" spans="1:5" x14ac:dyDescent="0.3">
      <c r="A17" t="s">
        <v>55</v>
      </c>
      <c r="B17">
        <v>127</v>
      </c>
      <c r="C17">
        <v>65535</v>
      </c>
      <c r="D17">
        <v>3.7</v>
      </c>
      <c r="E17" s="9">
        <v>69.349999999999994</v>
      </c>
    </row>
    <row r="18" spans="1:5" x14ac:dyDescent="0.3">
      <c r="A18" t="s">
        <v>55</v>
      </c>
      <c r="B18">
        <v>127</v>
      </c>
      <c r="C18">
        <v>65535</v>
      </c>
      <c r="D18">
        <v>3.6</v>
      </c>
      <c r="E18" s="9">
        <v>68.84</v>
      </c>
    </row>
    <row r="19" spans="1:5" x14ac:dyDescent="0.3">
      <c r="A19" t="s">
        <v>55</v>
      </c>
      <c r="B19">
        <v>127</v>
      </c>
      <c r="C19">
        <v>65535</v>
      </c>
      <c r="D19">
        <v>3.5</v>
      </c>
      <c r="E19" s="9">
        <v>66.989999999999995</v>
      </c>
    </row>
    <row r="20" spans="1:5" x14ac:dyDescent="0.3">
      <c r="A20" t="s">
        <v>56</v>
      </c>
      <c r="B20">
        <v>127</v>
      </c>
      <c r="C20">
        <v>65535</v>
      </c>
      <c r="D20">
        <v>3.6</v>
      </c>
      <c r="E20" s="9">
        <v>190.12</v>
      </c>
    </row>
    <row r="21" spans="1:5" x14ac:dyDescent="0.3">
      <c r="A21" t="s">
        <v>56</v>
      </c>
      <c r="B21">
        <v>127</v>
      </c>
      <c r="C21">
        <v>65535</v>
      </c>
      <c r="D21">
        <v>3.7</v>
      </c>
      <c r="E21" s="9">
        <v>190.58</v>
      </c>
    </row>
    <row r="22" spans="1:5" x14ac:dyDescent="0.3">
      <c r="A22" t="s">
        <v>56</v>
      </c>
      <c r="B22">
        <v>127</v>
      </c>
      <c r="C22">
        <v>65535</v>
      </c>
      <c r="D22" s="7">
        <v>4</v>
      </c>
      <c r="E22" s="9">
        <v>191.48</v>
      </c>
    </row>
    <row r="23" spans="1:5" x14ac:dyDescent="0.3">
      <c r="B23">
        <v>127</v>
      </c>
      <c r="C23">
        <v>65535</v>
      </c>
    </row>
    <row r="24" spans="1:5" x14ac:dyDescent="0.3">
      <c r="B24">
        <v>127</v>
      </c>
      <c r="C24">
        <v>65535</v>
      </c>
    </row>
    <row r="25" spans="1:5" x14ac:dyDescent="0.3">
      <c r="B25">
        <v>127</v>
      </c>
      <c r="C25">
        <v>65535</v>
      </c>
    </row>
    <row r="26" spans="1:5" x14ac:dyDescent="0.3">
      <c r="B26">
        <v>127</v>
      </c>
      <c r="C26">
        <v>65535</v>
      </c>
    </row>
    <row r="27" spans="1:5" x14ac:dyDescent="0.3">
      <c r="B27">
        <v>127</v>
      </c>
      <c r="C27">
        <v>65535</v>
      </c>
    </row>
    <row r="28" spans="1:5" x14ac:dyDescent="0.3">
      <c r="C28">
        <v>65535</v>
      </c>
    </row>
    <row r="29" spans="1:5" x14ac:dyDescent="0.3">
      <c r="C29">
        <v>65535</v>
      </c>
    </row>
    <row r="30" spans="1:5" x14ac:dyDescent="0.3">
      <c r="C30">
        <v>65535</v>
      </c>
    </row>
    <row r="31" spans="1:5" x14ac:dyDescent="0.3">
      <c r="C31">
        <v>65535</v>
      </c>
    </row>
    <row r="32" spans="1:5" x14ac:dyDescent="0.3">
      <c r="C32">
        <v>65535</v>
      </c>
    </row>
    <row r="33" spans="3:3" x14ac:dyDescent="0.3">
      <c r="C33">
        <v>65535</v>
      </c>
    </row>
    <row r="34" spans="3:3" x14ac:dyDescent="0.3">
      <c r="C34">
        <v>65535</v>
      </c>
    </row>
    <row r="35" spans="3:3" x14ac:dyDescent="0.3">
      <c r="C35">
        <v>65535</v>
      </c>
    </row>
    <row r="36" spans="3:3" x14ac:dyDescent="0.3">
      <c r="C36">
        <v>65535</v>
      </c>
    </row>
    <row r="37" spans="3:3" x14ac:dyDescent="0.3">
      <c r="C37">
        <v>65535</v>
      </c>
    </row>
    <row r="38" spans="3:3" x14ac:dyDescent="0.3">
      <c r="C38">
        <v>65535</v>
      </c>
    </row>
    <row r="39" spans="3:3" x14ac:dyDescent="0.3">
      <c r="C39">
        <v>65535</v>
      </c>
    </row>
    <row r="40" spans="3:3" x14ac:dyDescent="0.3">
      <c r="C40">
        <v>65535</v>
      </c>
    </row>
    <row r="41" spans="3:3" x14ac:dyDescent="0.3">
      <c r="C41">
        <v>65535</v>
      </c>
    </row>
    <row r="42" spans="3:3" x14ac:dyDescent="0.3">
      <c r="C42">
        <v>65535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</vt:lpstr>
      <vt:lpstr>PS Test</vt:lpstr>
      <vt:lpstr>LED Drive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Crutcher</dc:creator>
  <cp:lastModifiedBy>Nathaniel Crutcher</cp:lastModifiedBy>
  <dcterms:created xsi:type="dcterms:W3CDTF">2025-01-31T02:26:08Z</dcterms:created>
  <dcterms:modified xsi:type="dcterms:W3CDTF">2025-03-08T14:45:48Z</dcterms:modified>
</cp:coreProperties>
</file>